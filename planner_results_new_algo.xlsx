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51efe838d74da4e3/Desktop/SEC HACKATHON/"/>
    </mc:Choice>
  </mc:AlternateContent>
  <xr:revisionPtr revIDLastSave="0" documentId="11_B0A1430BFF7C1D89EDAE866F1E3492366F880F54" xr6:coauthVersionLast="47" xr6:coauthVersionMax="47" xr10:uidLastSave="{00000000-0000-0000-0000-000000000000}"/>
  <bookViews>
    <workbookView xWindow="2660" yWindow="2660" windowWidth="18660" windowHeight="11710" xr2:uid="{00000000-000D-0000-FFFF-FFFF00000000}"/>
  </bookViews>
  <sheets>
    <sheet name="Results" sheetId="1" r:id="rId1"/>
    <sheet name="Summary" sheetId="2" r:id="rId2"/>
    <sheet name="Char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2" l="1"/>
  <c r="D5" i="2"/>
  <c r="C5" i="2"/>
  <c r="F4" i="2"/>
  <c r="D4" i="2"/>
  <c r="C4" i="2"/>
  <c r="B4" i="2"/>
  <c r="F3" i="2"/>
  <c r="D3" i="2"/>
  <c r="C3" i="2"/>
  <c r="B3" i="2"/>
  <c r="B5" i="2" s="1"/>
  <c r="F2" i="2"/>
  <c r="D2" i="2"/>
  <c r="C2" i="2"/>
  <c r="B2" i="2"/>
  <c r="F62" i="1"/>
  <c r="H62" i="1" s="1"/>
  <c r="I62" i="1" s="1"/>
  <c r="F61" i="1"/>
  <c r="H61" i="1" s="1"/>
  <c r="I61" i="1" s="1"/>
  <c r="F60" i="1"/>
  <c r="H60" i="1" s="1"/>
  <c r="I60" i="1" s="1"/>
  <c r="F59" i="1"/>
  <c r="H59" i="1" s="1"/>
  <c r="I59" i="1" s="1"/>
  <c r="F58" i="1"/>
  <c r="H58" i="1" s="1"/>
  <c r="I58" i="1" s="1"/>
  <c r="F57" i="1"/>
  <c r="H57" i="1" s="1"/>
  <c r="I57" i="1" s="1"/>
  <c r="F56" i="1"/>
  <c r="H56" i="1" s="1"/>
  <c r="I56" i="1" s="1"/>
  <c r="F55" i="1"/>
  <c r="H55" i="1" s="1"/>
  <c r="I55" i="1" s="1"/>
  <c r="F54" i="1"/>
  <c r="H54" i="1" s="1"/>
  <c r="I54" i="1" s="1"/>
  <c r="F53" i="1"/>
  <c r="H53" i="1" s="1"/>
  <c r="I53" i="1" s="1"/>
  <c r="F52" i="1"/>
  <c r="H52" i="1" s="1"/>
  <c r="I52" i="1" s="1"/>
  <c r="H51" i="1"/>
  <c r="I51" i="1" s="1"/>
  <c r="F51" i="1"/>
  <c r="F50" i="1"/>
  <c r="F49" i="1"/>
  <c r="H49" i="1" s="1"/>
  <c r="I49" i="1" s="1"/>
  <c r="F48" i="1"/>
  <c r="H48" i="1" s="1"/>
  <c r="I48" i="1" s="1"/>
  <c r="F47" i="1"/>
  <c r="H47" i="1" s="1"/>
  <c r="I47" i="1" s="1"/>
  <c r="F46" i="1"/>
  <c r="H46" i="1" s="1"/>
  <c r="I46" i="1" s="1"/>
  <c r="F45" i="1"/>
  <c r="H45" i="1" s="1"/>
  <c r="I45" i="1" s="1"/>
  <c r="F44" i="1"/>
  <c r="H44" i="1" s="1"/>
  <c r="I44" i="1" s="1"/>
  <c r="H43" i="1"/>
  <c r="I43" i="1" s="1"/>
  <c r="F43" i="1"/>
  <c r="F42" i="1"/>
  <c r="H42" i="1" s="1"/>
  <c r="I42" i="1" s="1"/>
  <c r="F41" i="1"/>
  <c r="H41" i="1" s="1"/>
  <c r="I41" i="1" s="1"/>
  <c r="F40" i="1"/>
  <c r="H40" i="1" s="1"/>
  <c r="I40" i="1" s="1"/>
  <c r="F39" i="1"/>
  <c r="H39" i="1" s="1"/>
  <c r="I39" i="1" s="1"/>
  <c r="F38" i="1"/>
  <c r="H38" i="1" s="1"/>
  <c r="I38" i="1" s="1"/>
  <c r="F37" i="1"/>
  <c r="H37" i="1" s="1"/>
  <c r="I37" i="1" s="1"/>
  <c r="F36" i="1"/>
  <c r="H36" i="1" s="1"/>
  <c r="I36" i="1" s="1"/>
  <c r="F35" i="1"/>
  <c r="H35" i="1" s="1"/>
  <c r="I35" i="1" s="1"/>
  <c r="F34" i="1"/>
  <c r="H34" i="1" s="1"/>
  <c r="I34" i="1" s="1"/>
  <c r="F33" i="1"/>
  <c r="H33" i="1" s="1"/>
  <c r="I33" i="1" s="1"/>
  <c r="F32" i="1"/>
  <c r="H32" i="1" s="1"/>
  <c r="I32" i="1" s="1"/>
  <c r="F31" i="1"/>
  <c r="H31" i="1" s="1"/>
  <c r="I31" i="1" s="1"/>
  <c r="F30" i="1"/>
  <c r="H30" i="1" s="1"/>
  <c r="I30" i="1" s="1"/>
  <c r="F29" i="1"/>
  <c r="H29" i="1" s="1"/>
  <c r="I29" i="1" s="1"/>
  <c r="F28" i="1"/>
  <c r="H28" i="1" s="1"/>
  <c r="I28" i="1" s="1"/>
  <c r="F27" i="1"/>
  <c r="H27" i="1" s="1"/>
  <c r="I27" i="1" s="1"/>
  <c r="F26" i="1"/>
  <c r="H26" i="1" s="1"/>
  <c r="I26" i="1" s="1"/>
  <c r="F25" i="1"/>
  <c r="H25" i="1" s="1"/>
  <c r="I25" i="1" s="1"/>
  <c r="F24" i="1"/>
  <c r="H24" i="1" s="1"/>
  <c r="I24" i="1" s="1"/>
  <c r="F23" i="1"/>
  <c r="H23" i="1" s="1"/>
  <c r="I23" i="1" s="1"/>
  <c r="F22" i="1"/>
  <c r="H22" i="1" s="1"/>
  <c r="I22" i="1" s="1"/>
  <c r="F21" i="1"/>
  <c r="H21" i="1" s="1"/>
  <c r="I21" i="1" s="1"/>
  <c r="F20" i="1"/>
  <c r="H20" i="1" s="1"/>
  <c r="I20" i="1" s="1"/>
  <c r="H19" i="1"/>
  <c r="I19" i="1" s="1"/>
  <c r="F19" i="1"/>
  <c r="F18" i="1"/>
  <c r="H18" i="1" s="1"/>
  <c r="I18" i="1" s="1"/>
  <c r="F17" i="1"/>
  <c r="H17" i="1" s="1"/>
  <c r="I17" i="1" s="1"/>
  <c r="F16" i="1"/>
  <c r="H16" i="1" s="1"/>
  <c r="I16" i="1" s="1"/>
  <c r="F15" i="1"/>
  <c r="H15" i="1" s="1"/>
  <c r="I15" i="1" s="1"/>
  <c r="F14" i="1"/>
  <c r="H14" i="1" s="1"/>
  <c r="I14" i="1" s="1"/>
  <c r="F13" i="1"/>
  <c r="H13" i="1" s="1"/>
  <c r="I13" i="1" s="1"/>
  <c r="F12" i="1"/>
  <c r="H12" i="1" s="1"/>
  <c r="I12" i="1" s="1"/>
  <c r="H11" i="1"/>
  <c r="I11" i="1" s="1"/>
  <c r="F11" i="1"/>
  <c r="F10" i="1"/>
  <c r="H10" i="1" s="1"/>
  <c r="I10" i="1" s="1"/>
  <c r="F9" i="1"/>
  <c r="H9" i="1" s="1"/>
  <c r="I9" i="1" s="1"/>
  <c r="F8" i="1"/>
  <c r="H8" i="1" s="1"/>
  <c r="I8" i="1" s="1"/>
  <c r="F7" i="1"/>
  <c r="H7" i="1" s="1"/>
  <c r="I7" i="1" s="1"/>
  <c r="F6" i="1"/>
  <c r="F5" i="1"/>
  <c r="H5" i="1" s="1"/>
  <c r="I5" i="1" s="1"/>
  <c r="F4" i="1"/>
  <c r="H4" i="1" s="1"/>
  <c r="I4" i="1" s="1"/>
  <c r="F3" i="1"/>
  <c r="H3" i="1" s="1"/>
  <c r="I3" i="1" s="1"/>
  <c r="F2" i="1"/>
  <c r="B32" i="2" l="1"/>
  <c r="D34" i="2"/>
  <c r="H3" i="2"/>
  <c r="E4" i="2"/>
  <c r="D32" i="2"/>
  <c r="G3" i="2"/>
  <c r="B33" i="2"/>
  <c r="E5" i="2"/>
  <c r="C33" i="2"/>
  <c r="D33" i="2"/>
  <c r="B34" i="2"/>
  <c r="H2" i="2"/>
  <c r="H50" i="1"/>
  <c r="I50" i="1" s="1"/>
  <c r="G4" i="2" s="1"/>
  <c r="E3" i="2"/>
  <c r="E2" i="2"/>
  <c r="H5" i="2"/>
  <c r="C34" i="2"/>
  <c r="C32" i="2"/>
  <c r="H6" i="1"/>
  <c r="I6" i="1" s="1"/>
  <c r="H2" i="1"/>
  <c r="I2" i="1" s="1"/>
  <c r="H4" i="2"/>
  <c r="G2" i="2" l="1"/>
  <c r="G5" i="2"/>
</calcChain>
</file>

<file path=xl/sharedStrings.xml><?xml version="1.0" encoding="utf-8"?>
<sst xmlns="http://schemas.openxmlformats.org/spreadsheetml/2006/main" count="156" uniqueCount="90">
  <si>
    <t>Test case</t>
  </si>
  <si>
    <t>Type</t>
  </si>
  <si>
    <t>Containers</t>
  </si>
  <si>
    <t>Yard moves (new)</t>
  </si>
  <si>
    <t>Loads</t>
  </si>
  <si>
    <t>Total moves (new)</t>
  </si>
  <si>
    <t>Total moves (old main)</t>
  </si>
  <si>
    <t>Moves saved</t>
  </si>
  <si>
    <t>% saved</t>
  </si>
  <si>
    <t>random1</t>
  </si>
  <si>
    <t>Random</t>
  </si>
  <si>
    <t>random2</t>
  </si>
  <si>
    <t>random3</t>
  </si>
  <si>
    <t>random4</t>
  </si>
  <si>
    <t>random5</t>
  </si>
  <si>
    <t>random6</t>
  </si>
  <si>
    <t>random7</t>
  </si>
  <si>
    <t>random8</t>
  </si>
  <si>
    <t>random9</t>
  </si>
  <si>
    <t>random10</t>
  </si>
  <si>
    <t>random11</t>
  </si>
  <si>
    <t>random12</t>
  </si>
  <si>
    <t>random13</t>
  </si>
  <si>
    <t>random14</t>
  </si>
  <si>
    <t>random15</t>
  </si>
  <si>
    <t>random16</t>
  </si>
  <si>
    <t>random17</t>
  </si>
  <si>
    <t>random18</t>
  </si>
  <si>
    <t>random19</t>
  </si>
  <si>
    <t>random20</t>
  </si>
  <si>
    <t>random21</t>
  </si>
  <si>
    <t>random22</t>
  </si>
  <si>
    <t>random23</t>
  </si>
  <si>
    <t>random24</t>
  </si>
  <si>
    <t>random25</t>
  </si>
  <si>
    <t>random26</t>
  </si>
  <si>
    <t>random27</t>
  </si>
  <si>
    <t>random28</t>
  </si>
  <si>
    <t>random29</t>
  </si>
  <si>
    <t>random30</t>
  </si>
  <si>
    <t>random31</t>
  </si>
  <si>
    <t>random32</t>
  </si>
  <si>
    <t>random33</t>
  </si>
  <si>
    <t>random34</t>
  </si>
  <si>
    <t>random35</t>
  </si>
  <si>
    <t>reversed1</t>
  </si>
  <si>
    <t>Reversed</t>
  </si>
  <si>
    <t>reversed2</t>
  </si>
  <si>
    <t>reversed3</t>
  </si>
  <si>
    <t>reversed4</t>
  </si>
  <si>
    <t>reversed5</t>
  </si>
  <si>
    <t>reversed6</t>
  </si>
  <si>
    <t>reversed7</t>
  </si>
  <si>
    <t>reversed8</t>
  </si>
  <si>
    <t>reversed9</t>
  </si>
  <si>
    <t>reversed10</t>
  </si>
  <si>
    <t>reversed11</t>
  </si>
  <si>
    <t>reversed12</t>
  </si>
  <si>
    <t>reversed13</t>
  </si>
  <si>
    <t>solved1</t>
  </si>
  <si>
    <t>Solved</t>
  </si>
  <si>
    <t>solved2</t>
  </si>
  <si>
    <t>solved3</t>
  </si>
  <si>
    <t>solved4</t>
  </si>
  <si>
    <t>solved5</t>
  </si>
  <si>
    <t>solved6</t>
  </si>
  <si>
    <t>solved7</t>
  </si>
  <si>
    <t>solved8</t>
  </si>
  <si>
    <t>solved9</t>
  </si>
  <si>
    <t>solved10</t>
  </si>
  <si>
    <t>solved11</t>
  </si>
  <si>
    <t>solved12</t>
  </si>
  <si>
    <t>solved13</t>
  </si>
  <si>
    <t>Notes</t>
  </si>
  <si>
    <t>Blue numbers are planner outputs (hardcoded). Black cells are formulas.</t>
  </si>
  <si>
    <t>New = planner.py on branch planner-targeted-yard-sort (PR #6). Old = planner.py on current main (commit 117cec4).</t>
  </si>
  <si>
    <t>Inputs: the 61 CSVs in Desktop/SEC HACKATHON/Test Cases. Every plan was replay-checked; no yard moves happen after loading starts, so no 3x penalty.</t>
  </si>
  <si>
    <t>Test cases</t>
  </si>
  <si>
    <t>Avg containers</t>
  </si>
  <si>
    <t>Avg yard moves (new)</t>
  </si>
  <si>
    <t>Avg total moves (new)</t>
  </si>
  <si>
    <t>Avg total moves (old main)</t>
  </si>
  <si>
    <t>Avg % saved</t>
  </si>
  <si>
    <t>Max total moves (new)</t>
  </si>
  <si>
    <t>All</t>
  </si>
  <si>
    <t>Trendlines (new algorithm): total moves = slope x containers + intercept</t>
  </si>
  <si>
    <t>Slope</t>
  </si>
  <si>
    <t>Intercept</t>
  </si>
  <si>
    <t>R squared</t>
  </si>
  <si>
    <t>Charts read from the Results sheet; they update if those numbers change.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</si>
</sst>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"/>
    <numFmt numFmtId="166" formatCode="0.000"/>
  </numFmts>
  <fonts count="6" x14ac:knownFonts="1">
    <font>
      <sz val="11"/>
      <color theme="1"/>
      <name val="Calibri"/>
      <family val="2"/>
      <scheme val="minor"/>
    </font>
    <font>
      <sz val="11"/>
      <color rgb="FF0000FF"/>
      <name val="Arial"/>
    </font>
    <font>
      <sz val="11"/>
      <name val="Arial"/>
    </font>
    <font>
      <b/>
      <sz val="11"/>
      <color rgb="FF2C2C2A"/>
      <name val="Arial"/>
    </font>
    <font>
      <i/>
      <sz val="11"/>
      <color rgb="FF5F5E5A"/>
      <name val="Arial"/>
    </font>
    <font>
      <b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E6F1FB"/>
      </patternFill>
    </fill>
  </fills>
  <borders count="2">
    <border>
      <left/>
      <right/>
      <top/>
      <bottom/>
      <diagonal/>
    </border>
    <border>
      <left/>
      <right/>
      <top/>
      <bottom style="thin">
        <color rgb="FFD3D1C7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1" fillId="0" borderId="0" xfId="0" applyFont="1"/>
    <xf numFmtId="164" fontId="2" fillId="0" borderId="0" xfId="0" applyNumberFormat="1" applyFont="1"/>
    <xf numFmtId="0" fontId="3" fillId="0" borderId="0" xfId="0" applyFont="1"/>
    <xf numFmtId="0" fontId="4" fillId="0" borderId="0" xfId="0" applyFont="1"/>
    <xf numFmtId="0" fontId="3" fillId="2" borderId="0" xfId="0" applyFont="1" applyFill="1" applyAlignment="1">
      <alignment horizontal="center" vertical="center" wrapText="1"/>
    </xf>
    <xf numFmtId="165" fontId="2" fillId="0" borderId="0" xfId="0" applyNumberFormat="1" applyFont="1"/>
    <xf numFmtId="0" fontId="5" fillId="0" borderId="0" xfId="0" applyFont="1"/>
    <xf numFmtId="165" fontId="5" fillId="0" borderId="0" xfId="0" applyNumberFormat="1" applyFont="1"/>
    <xf numFmtId="164" fontId="5" fillId="0" borderId="0" xfId="0" applyNumberFormat="1" applyFont="1"/>
    <xf numFmtId="0" fontId="3" fillId="2" borderId="0" xfId="0" applyFont="1" applyFill="1"/>
    <xf numFmtId="2" fontId="2" fillId="0" borderId="0" xfId="0" applyNumberFormat="1" applyFont="1"/>
    <xf numFmtId="166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CA"/>
              <a:t>Average total moves: old vs new algorithm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Summary!$F$1</c:f>
              <c:strCache>
                <c:ptCount val="1"/>
                <c:pt idx="0">
                  <c:v>Avg total moves (old main)</c:v>
                </c:pt>
              </c:strCache>
            </c:strRef>
          </c:tx>
          <c:spPr>
            <a:solidFill>
              <a:srgbClr val="C9C7BE"/>
            </a:solidFill>
            <a:ln>
              <a:noFill/>
              <a:prstDash val="solid"/>
            </a:ln>
          </c:spPr>
          <c:invertIfNegative val="1"/>
          <c:cat>
            <c:strRef>
              <c:f>Summary!$A$2:$A$4</c:f>
              <c:strCache>
                <c:ptCount val="3"/>
                <c:pt idx="0">
                  <c:v>Random</c:v>
                </c:pt>
                <c:pt idx="1">
                  <c:v>Reversed</c:v>
                </c:pt>
                <c:pt idx="2">
                  <c:v>Solved</c:v>
                </c:pt>
              </c:strCache>
            </c:strRef>
          </c:cat>
          <c:val>
            <c:numRef>
              <c:f>Summary!$F$2:$F$4</c:f>
              <c:numCache>
                <c:formatCode>0.0</c:formatCode>
                <c:ptCount val="3"/>
                <c:pt idx="0">
                  <c:v>295.77142857142854</c:v>
                </c:pt>
                <c:pt idx="1">
                  <c:v>256.61538461538464</c:v>
                </c:pt>
                <c:pt idx="2">
                  <c:v>69.230769230769226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085-4FF9-B897-8FDBB6A74BC7}"/>
            </c:ext>
          </c:extLst>
        </c:ser>
        <c:ser>
          <c:idx val="1"/>
          <c:order val="1"/>
          <c:tx>
            <c:strRef>
              <c:f>Summary!$E$1</c:f>
              <c:strCache>
                <c:ptCount val="1"/>
                <c:pt idx="0">
                  <c:v>Avg total moves (new)</c:v>
                </c:pt>
              </c:strCache>
            </c:strRef>
          </c:tx>
          <c:spPr>
            <a:solidFill>
              <a:srgbClr val="85B7EB"/>
            </a:solidFill>
            <a:ln>
              <a:noFill/>
              <a:prstDash val="solid"/>
            </a:ln>
          </c:spPr>
          <c:invertIfNegative val="1"/>
          <c:cat>
            <c:strRef>
              <c:f>Summary!$A$2:$A$4</c:f>
              <c:strCache>
                <c:ptCount val="3"/>
                <c:pt idx="0">
                  <c:v>Random</c:v>
                </c:pt>
                <c:pt idx="1">
                  <c:v>Reversed</c:v>
                </c:pt>
                <c:pt idx="2">
                  <c:v>Solved</c:v>
                </c:pt>
              </c:strCache>
            </c:strRef>
          </c:cat>
          <c:val>
            <c:numRef>
              <c:f>Summary!$E$2:$E$4</c:f>
              <c:numCache>
                <c:formatCode>0.0</c:formatCode>
                <c:ptCount val="3"/>
                <c:pt idx="0">
                  <c:v>103.94285714285714</c:v>
                </c:pt>
                <c:pt idx="1">
                  <c:v>112</c:v>
                </c:pt>
                <c:pt idx="2">
                  <c:v>69.230769230769226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A085-4FF9-B897-8FDBB6A74B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1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Yard type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E1E0D9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Moves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CA"/>
              <a:t>Total moves per test case: old vs new algorithm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Results!$G$1</c:f>
              <c:strCache>
                <c:ptCount val="1"/>
                <c:pt idx="0">
                  <c:v>Total moves (old main)</c:v>
                </c:pt>
              </c:strCache>
            </c:strRef>
          </c:tx>
          <c:spPr>
            <a:solidFill>
              <a:srgbClr val="C9C7BE"/>
            </a:solidFill>
            <a:ln>
              <a:noFill/>
              <a:prstDash val="solid"/>
            </a:ln>
          </c:spPr>
          <c:invertIfNegative val="1"/>
          <c:cat>
            <c:strRef>
              <c:f>Results!$A$2:$A$62</c:f>
              <c:strCache>
                <c:ptCount val="61"/>
                <c:pt idx="0">
                  <c:v>random1</c:v>
                </c:pt>
                <c:pt idx="1">
                  <c:v>random2</c:v>
                </c:pt>
                <c:pt idx="2">
                  <c:v>random3</c:v>
                </c:pt>
                <c:pt idx="3">
                  <c:v>random4</c:v>
                </c:pt>
                <c:pt idx="4">
                  <c:v>random5</c:v>
                </c:pt>
                <c:pt idx="5">
                  <c:v>random6</c:v>
                </c:pt>
                <c:pt idx="6">
                  <c:v>random7</c:v>
                </c:pt>
                <c:pt idx="7">
                  <c:v>random8</c:v>
                </c:pt>
                <c:pt idx="8">
                  <c:v>random9</c:v>
                </c:pt>
                <c:pt idx="9">
                  <c:v>random10</c:v>
                </c:pt>
                <c:pt idx="10">
                  <c:v>random11</c:v>
                </c:pt>
                <c:pt idx="11">
                  <c:v>random12</c:v>
                </c:pt>
                <c:pt idx="12">
                  <c:v>random13</c:v>
                </c:pt>
                <c:pt idx="13">
                  <c:v>random14</c:v>
                </c:pt>
                <c:pt idx="14">
                  <c:v>random15</c:v>
                </c:pt>
                <c:pt idx="15">
                  <c:v>random16</c:v>
                </c:pt>
                <c:pt idx="16">
                  <c:v>random17</c:v>
                </c:pt>
                <c:pt idx="17">
                  <c:v>random18</c:v>
                </c:pt>
                <c:pt idx="18">
                  <c:v>random19</c:v>
                </c:pt>
                <c:pt idx="19">
                  <c:v>random20</c:v>
                </c:pt>
                <c:pt idx="20">
                  <c:v>random21</c:v>
                </c:pt>
                <c:pt idx="21">
                  <c:v>random22</c:v>
                </c:pt>
                <c:pt idx="22">
                  <c:v>random23</c:v>
                </c:pt>
                <c:pt idx="23">
                  <c:v>random24</c:v>
                </c:pt>
                <c:pt idx="24">
                  <c:v>random25</c:v>
                </c:pt>
                <c:pt idx="25">
                  <c:v>random26</c:v>
                </c:pt>
                <c:pt idx="26">
                  <c:v>random27</c:v>
                </c:pt>
                <c:pt idx="27">
                  <c:v>random28</c:v>
                </c:pt>
                <c:pt idx="28">
                  <c:v>random29</c:v>
                </c:pt>
                <c:pt idx="29">
                  <c:v>random30</c:v>
                </c:pt>
                <c:pt idx="30">
                  <c:v>random31</c:v>
                </c:pt>
                <c:pt idx="31">
                  <c:v>random32</c:v>
                </c:pt>
                <c:pt idx="32">
                  <c:v>random33</c:v>
                </c:pt>
                <c:pt idx="33">
                  <c:v>random34</c:v>
                </c:pt>
                <c:pt idx="34">
                  <c:v>random35</c:v>
                </c:pt>
                <c:pt idx="35">
                  <c:v>reversed1</c:v>
                </c:pt>
                <c:pt idx="36">
                  <c:v>reversed2</c:v>
                </c:pt>
                <c:pt idx="37">
                  <c:v>reversed3</c:v>
                </c:pt>
                <c:pt idx="38">
                  <c:v>reversed4</c:v>
                </c:pt>
                <c:pt idx="39">
                  <c:v>reversed5</c:v>
                </c:pt>
                <c:pt idx="40">
                  <c:v>reversed6</c:v>
                </c:pt>
                <c:pt idx="41">
                  <c:v>reversed7</c:v>
                </c:pt>
                <c:pt idx="42">
                  <c:v>reversed8</c:v>
                </c:pt>
                <c:pt idx="43">
                  <c:v>reversed9</c:v>
                </c:pt>
                <c:pt idx="44">
                  <c:v>reversed10</c:v>
                </c:pt>
                <c:pt idx="45">
                  <c:v>reversed11</c:v>
                </c:pt>
                <c:pt idx="46">
                  <c:v>reversed12</c:v>
                </c:pt>
                <c:pt idx="47">
                  <c:v>reversed13</c:v>
                </c:pt>
                <c:pt idx="48">
                  <c:v>solved1</c:v>
                </c:pt>
                <c:pt idx="49">
                  <c:v>solved2</c:v>
                </c:pt>
                <c:pt idx="50">
                  <c:v>solved3</c:v>
                </c:pt>
                <c:pt idx="51">
                  <c:v>solved4</c:v>
                </c:pt>
                <c:pt idx="52">
                  <c:v>solved5</c:v>
                </c:pt>
                <c:pt idx="53">
                  <c:v>solved6</c:v>
                </c:pt>
                <c:pt idx="54">
                  <c:v>solved7</c:v>
                </c:pt>
                <c:pt idx="55">
                  <c:v>solved8</c:v>
                </c:pt>
                <c:pt idx="56">
                  <c:v>solved9</c:v>
                </c:pt>
                <c:pt idx="57">
                  <c:v>solved10</c:v>
                </c:pt>
                <c:pt idx="58">
                  <c:v>solved11</c:v>
                </c:pt>
                <c:pt idx="59">
                  <c:v>solved12</c:v>
                </c:pt>
                <c:pt idx="60">
                  <c:v>solved13</c:v>
                </c:pt>
              </c:strCache>
            </c:strRef>
          </c:cat>
          <c:val>
            <c:numRef>
              <c:f>Results!$G$2:$G$62</c:f>
              <c:numCache>
                <c:formatCode>General</c:formatCode>
                <c:ptCount val="61"/>
                <c:pt idx="0">
                  <c:v>373</c:v>
                </c:pt>
                <c:pt idx="1">
                  <c:v>337</c:v>
                </c:pt>
                <c:pt idx="2">
                  <c:v>241</c:v>
                </c:pt>
                <c:pt idx="3">
                  <c:v>470</c:v>
                </c:pt>
                <c:pt idx="4">
                  <c:v>492</c:v>
                </c:pt>
                <c:pt idx="5">
                  <c:v>311</c:v>
                </c:pt>
                <c:pt idx="6">
                  <c:v>332</c:v>
                </c:pt>
                <c:pt idx="7">
                  <c:v>326</c:v>
                </c:pt>
                <c:pt idx="8">
                  <c:v>396</c:v>
                </c:pt>
                <c:pt idx="9">
                  <c:v>234</c:v>
                </c:pt>
                <c:pt idx="10">
                  <c:v>244</c:v>
                </c:pt>
                <c:pt idx="11">
                  <c:v>261</c:v>
                </c:pt>
                <c:pt idx="12">
                  <c:v>232</c:v>
                </c:pt>
                <c:pt idx="13">
                  <c:v>239</c:v>
                </c:pt>
                <c:pt idx="14">
                  <c:v>361</c:v>
                </c:pt>
                <c:pt idx="15">
                  <c:v>307</c:v>
                </c:pt>
                <c:pt idx="16">
                  <c:v>293</c:v>
                </c:pt>
                <c:pt idx="17">
                  <c:v>224</c:v>
                </c:pt>
                <c:pt idx="18">
                  <c:v>331</c:v>
                </c:pt>
                <c:pt idx="19">
                  <c:v>271</c:v>
                </c:pt>
                <c:pt idx="20">
                  <c:v>272</c:v>
                </c:pt>
                <c:pt idx="21">
                  <c:v>246</c:v>
                </c:pt>
                <c:pt idx="22">
                  <c:v>364</c:v>
                </c:pt>
                <c:pt idx="23">
                  <c:v>271</c:v>
                </c:pt>
                <c:pt idx="24">
                  <c:v>309</c:v>
                </c:pt>
                <c:pt idx="25">
                  <c:v>265</c:v>
                </c:pt>
                <c:pt idx="26">
                  <c:v>372</c:v>
                </c:pt>
                <c:pt idx="27">
                  <c:v>298</c:v>
                </c:pt>
                <c:pt idx="28">
                  <c:v>206</c:v>
                </c:pt>
                <c:pt idx="29">
                  <c:v>293</c:v>
                </c:pt>
                <c:pt idx="30">
                  <c:v>336</c:v>
                </c:pt>
                <c:pt idx="31">
                  <c:v>224</c:v>
                </c:pt>
                <c:pt idx="32">
                  <c:v>181</c:v>
                </c:pt>
                <c:pt idx="33">
                  <c:v>249</c:v>
                </c:pt>
                <c:pt idx="34">
                  <c:v>191</c:v>
                </c:pt>
                <c:pt idx="35">
                  <c:v>201</c:v>
                </c:pt>
                <c:pt idx="36">
                  <c:v>286</c:v>
                </c:pt>
                <c:pt idx="37">
                  <c:v>371</c:v>
                </c:pt>
                <c:pt idx="38">
                  <c:v>263</c:v>
                </c:pt>
                <c:pt idx="39">
                  <c:v>148</c:v>
                </c:pt>
                <c:pt idx="40">
                  <c:v>143</c:v>
                </c:pt>
                <c:pt idx="41">
                  <c:v>246</c:v>
                </c:pt>
                <c:pt idx="42">
                  <c:v>398</c:v>
                </c:pt>
                <c:pt idx="43">
                  <c:v>203</c:v>
                </c:pt>
                <c:pt idx="44">
                  <c:v>148</c:v>
                </c:pt>
                <c:pt idx="45">
                  <c:v>245</c:v>
                </c:pt>
                <c:pt idx="46">
                  <c:v>336</c:v>
                </c:pt>
                <c:pt idx="47">
                  <c:v>348</c:v>
                </c:pt>
                <c:pt idx="48">
                  <c:v>60</c:v>
                </c:pt>
                <c:pt idx="49">
                  <c:v>70</c:v>
                </c:pt>
                <c:pt idx="50">
                  <c:v>80</c:v>
                </c:pt>
                <c:pt idx="51">
                  <c:v>50</c:v>
                </c:pt>
                <c:pt idx="52">
                  <c:v>70</c:v>
                </c:pt>
                <c:pt idx="53">
                  <c:v>80</c:v>
                </c:pt>
                <c:pt idx="54">
                  <c:v>80</c:v>
                </c:pt>
                <c:pt idx="55">
                  <c:v>70</c:v>
                </c:pt>
                <c:pt idx="56">
                  <c:v>50</c:v>
                </c:pt>
                <c:pt idx="57">
                  <c:v>80</c:v>
                </c:pt>
                <c:pt idx="58">
                  <c:v>50</c:v>
                </c:pt>
                <c:pt idx="59">
                  <c:v>80</c:v>
                </c:pt>
                <c:pt idx="60">
                  <c:v>80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9A5-43E7-A86B-E5933336C269}"/>
            </c:ext>
          </c:extLst>
        </c:ser>
        <c:ser>
          <c:idx val="1"/>
          <c:order val="1"/>
          <c:tx>
            <c:strRef>
              <c:f>Results!$F$1</c:f>
              <c:strCache>
                <c:ptCount val="1"/>
                <c:pt idx="0">
                  <c:v>Total moves (new)</c:v>
                </c:pt>
              </c:strCache>
            </c:strRef>
          </c:tx>
          <c:spPr>
            <a:solidFill>
              <a:srgbClr val="85B7EB"/>
            </a:solidFill>
            <a:ln>
              <a:noFill/>
              <a:prstDash val="solid"/>
            </a:ln>
          </c:spPr>
          <c:invertIfNegative val="1"/>
          <c:cat>
            <c:strRef>
              <c:f>Results!$A$2:$A$62</c:f>
              <c:strCache>
                <c:ptCount val="61"/>
                <c:pt idx="0">
                  <c:v>random1</c:v>
                </c:pt>
                <c:pt idx="1">
                  <c:v>random2</c:v>
                </c:pt>
                <c:pt idx="2">
                  <c:v>random3</c:v>
                </c:pt>
                <c:pt idx="3">
                  <c:v>random4</c:v>
                </c:pt>
                <c:pt idx="4">
                  <c:v>random5</c:v>
                </c:pt>
                <c:pt idx="5">
                  <c:v>random6</c:v>
                </c:pt>
                <c:pt idx="6">
                  <c:v>random7</c:v>
                </c:pt>
                <c:pt idx="7">
                  <c:v>random8</c:v>
                </c:pt>
                <c:pt idx="8">
                  <c:v>random9</c:v>
                </c:pt>
                <c:pt idx="9">
                  <c:v>random10</c:v>
                </c:pt>
                <c:pt idx="10">
                  <c:v>random11</c:v>
                </c:pt>
                <c:pt idx="11">
                  <c:v>random12</c:v>
                </c:pt>
                <c:pt idx="12">
                  <c:v>random13</c:v>
                </c:pt>
                <c:pt idx="13">
                  <c:v>random14</c:v>
                </c:pt>
                <c:pt idx="14">
                  <c:v>random15</c:v>
                </c:pt>
                <c:pt idx="15">
                  <c:v>random16</c:v>
                </c:pt>
                <c:pt idx="16">
                  <c:v>random17</c:v>
                </c:pt>
                <c:pt idx="17">
                  <c:v>random18</c:v>
                </c:pt>
                <c:pt idx="18">
                  <c:v>random19</c:v>
                </c:pt>
                <c:pt idx="19">
                  <c:v>random20</c:v>
                </c:pt>
                <c:pt idx="20">
                  <c:v>random21</c:v>
                </c:pt>
                <c:pt idx="21">
                  <c:v>random22</c:v>
                </c:pt>
                <c:pt idx="22">
                  <c:v>random23</c:v>
                </c:pt>
                <c:pt idx="23">
                  <c:v>random24</c:v>
                </c:pt>
                <c:pt idx="24">
                  <c:v>random25</c:v>
                </c:pt>
                <c:pt idx="25">
                  <c:v>random26</c:v>
                </c:pt>
                <c:pt idx="26">
                  <c:v>random27</c:v>
                </c:pt>
                <c:pt idx="27">
                  <c:v>random28</c:v>
                </c:pt>
                <c:pt idx="28">
                  <c:v>random29</c:v>
                </c:pt>
                <c:pt idx="29">
                  <c:v>random30</c:v>
                </c:pt>
                <c:pt idx="30">
                  <c:v>random31</c:v>
                </c:pt>
                <c:pt idx="31">
                  <c:v>random32</c:v>
                </c:pt>
                <c:pt idx="32">
                  <c:v>random33</c:v>
                </c:pt>
                <c:pt idx="33">
                  <c:v>random34</c:v>
                </c:pt>
                <c:pt idx="34">
                  <c:v>random35</c:v>
                </c:pt>
                <c:pt idx="35">
                  <c:v>reversed1</c:v>
                </c:pt>
                <c:pt idx="36">
                  <c:v>reversed2</c:v>
                </c:pt>
                <c:pt idx="37">
                  <c:v>reversed3</c:v>
                </c:pt>
                <c:pt idx="38">
                  <c:v>reversed4</c:v>
                </c:pt>
                <c:pt idx="39">
                  <c:v>reversed5</c:v>
                </c:pt>
                <c:pt idx="40">
                  <c:v>reversed6</c:v>
                </c:pt>
                <c:pt idx="41">
                  <c:v>reversed7</c:v>
                </c:pt>
                <c:pt idx="42">
                  <c:v>reversed8</c:v>
                </c:pt>
                <c:pt idx="43">
                  <c:v>reversed9</c:v>
                </c:pt>
                <c:pt idx="44">
                  <c:v>reversed10</c:v>
                </c:pt>
                <c:pt idx="45">
                  <c:v>reversed11</c:v>
                </c:pt>
                <c:pt idx="46">
                  <c:v>reversed12</c:v>
                </c:pt>
                <c:pt idx="47">
                  <c:v>reversed13</c:v>
                </c:pt>
                <c:pt idx="48">
                  <c:v>solved1</c:v>
                </c:pt>
                <c:pt idx="49">
                  <c:v>solved2</c:v>
                </c:pt>
                <c:pt idx="50">
                  <c:v>solved3</c:v>
                </c:pt>
                <c:pt idx="51">
                  <c:v>solved4</c:v>
                </c:pt>
                <c:pt idx="52">
                  <c:v>solved5</c:v>
                </c:pt>
                <c:pt idx="53">
                  <c:v>solved6</c:v>
                </c:pt>
                <c:pt idx="54">
                  <c:v>solved7</c:v>
                </c:pt>
                <c:pt idx="55">
                  <c:v>solved8</c:v>
                </c:pt>
                <c:pt idx="56">
                  <c:v>solved9</c:v>
                </c:pt>
                <c:pt idx="57">
                  <c:v>solved10</c:v>
                </c:pt>
                <c:pt idx="58">
                  <c:v>solved11</c:v>
                </c:pt>
                <c:pt idx="59">
                  <c:v>solved12</c:v>
                </c:pt>
                <c:pt idx="60">
                  <c:v>solved13</c:v>
                </c:pt>
              </c:strCache>
            </c:strRef>
          </c:cat>
          <c:val>
            <c:numRef>
              <c:f>Results!$F$2:$F$62</c:f>
              <c:numCache>
                <c:formatCode>General</c:formatCode>
                <c:ptCount val="61"/>
                <c:pt idx="0">
                  <c:v>128</c:v>
                </c:pt>
                <c:pt idx="1">
                  <c:v>133</c:v>
                </c:pt>
                <c:pt idx="2">
                  <c:v>93</c:v>
                </c:pt>
                <c:pt idx="3">
                  <c:v>135</c:v>
                </c:pt>
                <c:pt idx="4">
                  <c:v>137</c:v>
                </c:pt>
                <c:pt idx="5">
                  <c:v>114</c:v>
                </c:pt>
                <c:pt idx="6">
                  <c:v>102</c:v>
                </c:pt>
                <c:pt idx="7">
                  <c:v>109</c:v>
                </c:pt>
                <c:pt idx="8">
                  <c:v>129</c:v>
                </c:pt>
                <c:pt idx="9">
                  <c:v>93</c:v>
                </c:pt>
                <c:pt idx="10">
                  <c:v>86</c:v>
                </c:pt>
                <c:pt idx="11">
                  <c:v>102</c:v>
                </c:pt>
                <c:pt idx="12">
                  <c:v>80</c:v>
                </c:pt>
                <c:pt idx="13">
                  <c:v>87</c:v>
                </c:pt>
                <c:pt idx="14">
                  <c:v>115</c:v>
                </c:pt>
                <c:pt idx="15">
                  <c:v>112</c:v>
                </c:pt>
                <c:pt idx="16">
                  <c:v>103</c:v>
                </c:pt>
                <c:pt idx="17">
                  <c:v>91</c:v>
                </c:pt>
                <c:pt idx="18">
                  <c:v>109</c:v>
                </c:pt>
                <c:pt idx="19">
                  <c:v>94</c:v>
                </c:pt>
                <c:pt idx="20">
                  <c:v>103</c:v>
                </c:pt>
                <c:pt idx="21">
                  <c:v>103</c:v>
                </c:pt>
                <c:pt idx="22">
                  <c:v>117</c:v>
                </c:pt>
                <c:pt idx="23">
                  <c:v>88</c:v>
                </c:pt>
                <c:pt idx="24">
                  <c:v>107</c:v>
                </c:pt>
                <c:pt idx="25">
                  <c:v>94</c:v>
                </c:pt>
                <c:pt idx="26">
                  <c:v>108</c:v>
                </c:pt>
                <c:pt idx="27">
                  <c:v>129</c:v>
                </c:pt>
                <c:pt idx="28">
                  <c:v>74</c:v>
                </c:pt>
                <c:pt idx="29">
                  <c:v>115</c:v>
                </c:pt>
                <c:pt idx="30">
                  <c:v>118</c:v>
                </c:pt>
                <c:pt idx="31">
                  <c:v>84</c:v>
                </c:pt>
                <c:pt idx="32">
                  <c:v>67</c:v>
                </c:pt>
                <c:pt idx="33">
                  <c:v>101</c:v>
                </c:pt>
                <c:pt idx="34">
                  <c:v>78</c:v>
                </c:pt>
                <c:pt idx="35">
                  <c:v>95</c:v>
                </c:pt>
                <c:pt idx="36">
                  <c:v>120</c:v>
                </c:pt>
                <c:pt idx="37">
                  <c:v>146</c:v>
                </c:pt>
                <c:pt idx="38">
                  <c:v>123</c:v>
                </c:pt>
                <c:pt idx="39">
                  <c:v>65</c:v>
                </c:pt>
                <c:pt idx="40">
                  <c:v>65</c:v>
                </c:pt>
                <c:pt idx="41">
                  <c:v>121</c:v>
                </c:pt>
                <c:pt idx="42">
                  <c:v>145</c:v>
                </c:pt>
                <c:pt idx="43">
                  <c:v>98</c:v>
                </c:pt>
                <c:pt idx="44">
                  <c:v>65</c:v>
                </c:pt>
                <c:pt idx="45">
                  <c:v>122</c:v>
                </c:pt>
                <c:pt idx="46">
                  <c:v>145</c:v>
                </c:pt>
                <c:pt idx="47">
                  <c:v>146</c:v>
                </c:pt>
                <c:pt idx="48">
                  <c:v>60</c:v>
                </c:pt>
                <c:pt idx="49">
                  <c:v>70</c:v>
                </c:pt>
                <c:pt idx="50">
                  <c:v>80</c:v>
                </c:pt>
                <c:pt idx="51">
                  <c:v>50</c:v>
                </c:pt>
                <c:pt idx="52">
                  <c:v>70</c:v>
                </c:pt>
                <c:pt idx="53">
                  <c:v>80</c:v>
                </c:pt>
                <c:pt idx="54">
                  <c:v>80</c:v>
                </c:pt>
                <c:pt idx="55">
                  <c:v>70</c:v>
                </c:pt>
                <c:pt idx="56">
                  <c:v>50</c:v>
                </c:pt>
                <c:pt idx="57">
                  <c:v>80</c:v>
                </c:pt>
                <c:pt idx="58">
                  <c:v>50</c:v>
                </c:pt>
                <c:pt idx="59">
                  <c:v>80</c:v>
                </c:pt>
                <c:pt idx="60">
                  <c:v>80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B9A5-43E7-A86B-E5933336C2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Test case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tickLblSkip val="1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E1E0D9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Moves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CA"/>
              <a:t>New algorithm: total moves vs containers, with trendlines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Random</c:v>
          </c:tx>
          <c:spPr>
            <a:ln>
              <a:noFill/>
              <a:prstDash val="solid"/>
            </a:ln>
          </c:spPr>
          <c:marker>
            <c:symbol val="circle"/>
            <c:size val="8"/>
            <c:spPr>
              <a:solidFill>
                <a:srgbClr val="AFA9EC"/>
              </a:solidFill>
              <a:ln>
                <a:solidFill>
                  <a:srgbClr val="FFFFFF"/>
                </a:solidFill>
                <a:prstDash val="solid"/>
              </a:ln>
            </c:spPr>
          </c:marker>
          <c:trendline>
            <c:spPr>
              <a:ln w="28575">
                <a:solidFill>
                  <a:srgbClr val="AFA9EC"/>
                </a:solidFill>
                <a:prstDash val="solid"/>
              </a:ln>
            </c:spPr>
            <c:trendlineType val="linear"/>
            <c:dispRSqr val="0"/>
            <c:dispEq val="0"/>
          </c:trendline>
          <c:xVal>
            <c:numRef>
              <c:f>Results!$C$2:$C$36</c:f>
              <c:numCache>
                <c:formatCode>General</c:formatCode>
                <c:ptCount val="35"/>
                <c:pt idx="0">
                  <c:v>75</c:v>
                </c:pt>
                <c:pt idx="1">
                  <c:v>75</c:v>
                </c:pt>
                <c:pt idx="2">
                  <c:v>60</c:v>
                </c:pt>
                <c:pt idx="3">
                  <c:v>80</c:v>
                </c:pt>
                <c:pt idx="4">
                  <c:v>80</c:v>
                </c:pt>
                <c:pt idx="5">
                  <c:v>65</c:v>
                </c:pt>
                <c:pt idx="6">
                  <c:v>67</c:v>
                </c:pt>
                <c:pt idx="7">
                  <c:v>66</c:v>
                </c:pt>
                <c:pt idx="8">
                  <c:v>74</c:v>
                </c:pt>
                <c:pt idx="9">
                  <c:v>58</c:v>
                </c:pt>
                <c:pt idx="10">
                  <c:v>57</c:v>
                </c:pt>
                <c:pt idx="11">
                  <c:v>62</c:v>
                </c:pt>
                <c:pt idx="12">
                  <c:v>56</c:v>
                </c:pt>
                <c:pt idx="13">
                  <c:v>57</c:v>
                </c:pt>
                <c:pt idx="14">
                  <c:v>71</c:v>
                </c:pt>
                <c:pt idx="15">
                  <c:v>67</c:v>
                </c:pt>
                <c:pt idx="16">
                  <c:v>66</c:v>
                </c:pt>
                <c:pt idx="17">
                  <c:v>57</c:v>
                </c:pt>
                <c:pt idx="18">
                  <c:v>68</c:v>
                </c:pt>
                <c:pt idx="19">
                  <c:v>63</c:v>
                </c:pt>
                <c:pt idx="20">
                  <c:v>64</c:v>
                </c:pt>
                <c:pt idx="21">
                  <c:v>60</c:v>
                </c:pt>
                <c:pt idx="22">
                  <c:v>72</c:v>
                </c:pt>
                <c:pt idx="23">
                  <c:v>61</c:v>
                </c:pt>
                <c:pt idx="24">
                  <c:v>67</c:v>
                </c:pt>
                <c:pt idx="25">
                  <c:v>60</c:v>
                </c:pt>
                <c:pt idx="26">
                  <c:v>73</c:v>
                </c:pt>
                <c:pt idx="27">
                  <c:v>66</c:v>
                </c:pt>
                <c:pt idx="28">
                  <c:v>53</c:v>
                </c:pt>
                <c:pt idx="29">
                  <c:v>64</c:v>
                </c:pt>
                <c:pt idx="30">
                  <c:v>71</c:v>
                </c:pt>
                <c:pt idx="31">
                  <c:v>57</c:v>
                </c:pt>
                <c:pt idx="32">
                  <c:v>49</c:v>
                </c:pt>
                <c:pt idx="33">
                  <c:v>64</c:v>
                </c:pt>
                <c:pt idx="34">
                  <c:v>50</c:v>
                </c:pt>
              </c:numCache>
            </c:numRef>
          </c:xVal>
          <c:yVal>
            <c:numRef>
              <c:f>Results!$F$2:$F$36</c:f>
              <c:numCache>
                <c:formatCode>General</c:formatCode>
                <c:ptCount val="35"/>
                <c:pt idx="0">
                  <c:v>128</c:v>
                </c:pt>
                <c:pt idx="1">
                  <c:v>133</c:v>
                </c:pt>
                <c:pt idx="2">
                  <c:v>93</c:v>
                </c:pt>
                <c:pt idx="3">
                  <c:v>135</c:v>
                </c:pt>
                <c:pt idx="4">
                  <c:v>137</c:v>
                </c:pt>
                <c:pt idx="5">
                  <c:v>114</c:v>
                </c:pt>
                <c:pt idx="6">
                  <c:v>102</c:v>
                </c:pt>
                <c:pt idx="7">
                  <c:v>109</c:v>
                </c:pt>
                <c:pt idx="8">
                  <c:v>129</c:v>
                </c:pt>
                <c:pt idx="9">
                  <c:v>93</c:v>
                </c:pt>
                <c:pt idx="10">
                  <c:v>86</c:v>
                </c:pt>
                <c:pt idx="11">
                  <c:v>102</c:v>
                </c:pt>
                <c:pt idx="12">
                  <c:v>80</c:v>
                </c:pt>
                <c:pt idx="13">
                  <c:v>87</c:v>
                </c:pt>
                <c:pt idx="14">
                  <c:v>115</c:v>
                </c:pt>
                <c:pt idx="15">
                  <c:v>112</c:v>
                </c:pt>
                <c:pt idx="16">
                  <c:v>103</c:v>
                </c:pt>
                <c:pt idx="17">
                  <c:v>91</c:v>
                </c:pt>
                <c:pt idx="18">
                  <c:v>109</c:v>
                </c:pt>
                <c:pt idx="19">
                  <c:v>94</c:v>
                </c:pt>
                <c:pt idx="20">
                  <c:v>103</c:v>
                </c:pt>
                <c:pt idx="21">
                  <c:v>103</c:v>
                </c:pt>
                <c:pt idx="22">
                  <c:v>117</c:v>
                </c:pt>
                <c:pt idx="23">
                  <c:v>88</c:v>
                </c:pt>
                <c:pt idx="24">
                  <c:v>107</c:v>
                </c:pt>
                <c:pt idx="25">
                  <c:v>94</c:v>
                </c:pt>
                <c:pt idx="26">
                  <c:v>108</c:v>
                </c:pt>
                <c:pt idx="27">
                  <c:v>129</c:v>
                </c:pt>
                <c:pt idx="28">
                  <c:v>74</c:v>
                </c:pt>
                <c:pt idx="29">
                  <c:v>115</c:v>
                </c:pt>
                <c:pt idx="30">
                  <c:v>118</c:v>
                </c:pt>
                <c:pt idx="31">
                  <c:v>84</c:v>
                </c:pt>
                <c:pt idx="32">
                  <c:v>67</c:v>
                </c:pt>
                <c:pt idx="33">
                  <c:v>101</c:v>
                </c:pt>
                <c:pt idx="34">
                  <c:v>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2BA-4DC2-B8ED-47272258D1B4}"/>
            </c:ext>
          </c:extLst>
        </c:ser>
        <c:ser>
          <c:idx val="1"/>
          <c:order val="1"/>
          <c:tx>
            <c:v>Reversed</c:v>
          </c:tx>
          <c:spPr>
            <a:ln>
              <a:noFill/>
              <a:prstDash val="solid"/>
            </a:ln>
          </c:spPr>
          <c:marker>
            <c:symbol val="circle"/>
            <c:size val="8"/>
            <c:spPr>
              <a:solidFill>
                <a:srgbClr val="5DCAA5"/>
              </a:solidFill>
              <a:ln>
                <a:solidFill>
                  <a:srgbClr val="FFFFFF"/>
                </a:solidFill>
                <a:prstDash val="solid"/>
              </a:ln>
            </c:spPr>
          </c:marker>
          <c:trendline>
            <c:spPr>
              <a:ln w="28575">
                <a:solidFill>
                  <a:srgbClr val="5DCAA5"/>
                </a:solidFill>
                <a:prstDash val="solid"/>
              </a:ln>
            </c:spPr>
            <c:trendlineType val="linear"/>
            <c:dispRSqr val="0"/>
            <c:dispEq val="0"/>
          </c:trendline>
          <c:xVal>
            <c:numRef>
              <c:f>Results!$C$37:$C$49</c:f>
              <c:numCache>
                <c:formatCode>General</c:formatCode>
                <c:ptCount val="13"/>
                <c:pt idx="0">
                  <c:v>60</c:v>
                </c:pt>
                <c:pt idx="1">
                  <c:v>70</c:v>
                </c:pt>
                <c:pt idx="2">
                  <c:v>80</c:v>
                </c:pt>
                <c:pt idx="3">
                  <c:v>70</c:v>
                </c:pt>
                <c:pt idx="4">
                  <c:v>50</c:v>
                </c:pt>
                <c:pt idx="5">
                  <c:v>50</c:v>
                </c:pt>
                <c:pt idx="6">
                  <c:v>70</c:v>
                </c:pt>
                <c:pt idx="7">
                  <c:v>80</c:v>
                </c:pt>
                <c:pt idx="8">
                  <c:v>60</c:v>
                </c:pt>
                <c:pt idx="9">
                  <c:v>50</c:v>
                </c:pt>
                <c:pt idx="10">
                  <c:v>70</c:v>
                </c:pt>
                <c:pt idx="11">
                  <c:v>80</c:v>
                </c:pt>
                <c:pt idx="12">
                  <c:v>80</c:v>
                </c:pt>
              </c:numCache>
            </c:numRef>
          </c:xVal>
          <c:yVal>
            <c:numRef>
              <c:f>Results!$F$37:$F$49</c:f>
              <c:numCache>
                <c:formatCode>General</c:formatCode>
                <c:ptCount val="13"/>
                <c:pt idx="0">
                  <c:v>95</c:v>
                </c:pt>
                <c:pt idx="1">
                  <c:v>120</c:v>
                </c:pt>
                <c:pt idx="2">
                  <c:v>146</c:v>
                </c:pt>
                <c:pt idx="3">
                  <c:v>123</c:v>
                </c:pt>
                <c:pt idx="4">
                  <c:v>65</c:v>
                </c:pt>
                <c:pt idx="5">
                  <c:v>65</c:v>
                </c:pt>
                <c:pt idx="6">
                  <c:v>121</c:v>
                </c:pt>
                <c:pt idx="7">
                  <c:v>145</c:v>
                </c:pt>
                <c:pt idx="8">
                  <c:v>98</c:v>
                </c:pt>
                <c:pt idx="9">
                  <c:v>65</c:v>
                </c:pt>
                <c:pt idx="10">
                  <c:v>122</c:v>
                </c:pt>
                <c:pt idx="11">
                  <c:v>145</c:v>
                </c:pt>
                <c:pt idx="12">
                  <c:v>146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2BA-4DC2-B8ED-47272258D1B4}"/>
            </c:ext>
          </c:extLst>
        </c:ser>
        <c:ser>
          <c:idx val="2"/>
          <c:order val="2"/>
          <c:tx>
            <c:v>Solved</c:v>
          </c:tx>
          <c:spPr>
            <a:ln>
              <a:noFill/>
              <a:prstDash val="solid"/>
            </a:ln>
          </c:spPr>
          <c:marker>
            <c:symbol val="circle"/>
            <c:size val="8"/>
            <c:spPr>
              <a:solidFill>
                <a:srgbClr val="F0997B"/>
              </a:solidFill>
              <a:ln>
                <a:solidFill>
                  <a:srgbClr val="FFFFFF"/>
                </a:solidFill>
                <a:prstDash val="solid"/>
              </a:ln>
            </c:spPr>
          </c:marker>
          <c:trendline>
            <c:spPr>
              <a:ln w="28575">
                <a:solidFill>
                  <a:srgbClr val="F0997B"/>
                </a:solidFill>
                <a:prstDash val="solid"/>
              </a:ln>
            </c:spPr>
            <c:trendlineType val="linear"/>
            <c:dispRSqr val="0"/>
            <c:dispEq val="0"/>
          </c:trendline>
          <c:xVal>
            <c:numRef>
              <c:f>Results!$C$50:$C$62</c:f>
              <c:numCache>
                <c:formatCode>General</c:formatCode>
                <c:ptCount val="13"/>
                <c:pt idx="0">
                  <c:v>60</c:v>
                </c:pt>
                <c:pt idx="1">
                  <c:v>70</c:v>
                </c:pt>
                <c:pt idx="2">
                  <c:v>80</c:v>
                </c:pt>
                <c:pt idx="3">
                  <c:v>50</c:v>
                </c:pt>
                <c:pt idx="4">
                  <c:v>70</c:v>
                </c:pt>
                <c:pt idx="5">
                  <c:v>80</c:v>
                </c:pt>
                <c:pt idx="6">
                  <c:v>80</c:v>
                </c:pt>
                <c:pt idx="7">
                  <c:v>70</c:v>
                </c:pt>
                <c:pt idx="8">
                  <c:v>50</c:v>
                </c:pt>
                <c:pt idx="9">
                  <c:v>80</c:v>
                </c:pt>
                <c:pt idx="10">
                  <c:v>50</c:v>
                </c:pt>
                <c:pt idx="11">
                  <c:v>80</c:v>
                </c:pt>
                <c:pt idx="12">
                  <c:v>80</c:v>
                </c:pt>
              </c:numCache>
            </c:numRef>
          </c:xVal>
          <c:yVal>
            <c:numRef>
              <c:f>Results!$F$50:$F$62</c:f>
              <c:numCache>
                <c:formatCode>General</c:formatCode>
                <c:ptCount val="13"/>
                <c:pt idx="0">
                  <c:v>60</c:v>
                </c:pt>
                <c:pt idx="1">
                  <c:v>70</c:v>
                </c:pt>
                <c:pt idx="2">
                  <c:v>80</c:v>
                </c:pt>
                <c:pt idx="3">
                  <c:v>50</c:v>
                </c:pt>
                <c:pt idx="4">
                  <c:v>70</c:v>
                </c:pt>
                <c:pt idx="5">
                  <c:v>80</c:v>
                </c:pt>
                <c:pt idx="6">
                  <c:v>80</c:v>
                </c:pt>
                <c:pt idx="7">
                  <c:v>70</c:v>
                </c:pt>
                <c:pt idx="8">
                  <c:v>50</c:v>
                </c:pt>
                <c:pt idx="9">
                  <c:v>80</c:v>
                </c:pt>
                <c:pt idx="10">
                  <c:v>50</c:v>
                </c:pt>
                <c:pt idx="11">
                  <c:v>80</c:v>
                </c:pt>
                <c:pt idx="12">
                  <c:v>80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2BA-4DC2-B8ED-47272258D1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85"/>
          <c:min val="45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Containers in yard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E1E0D9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Total moves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t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7</xdr:row>
      <xdr:rowOff>0</xdr:rowOff>
    </xdr:from>
    <xdr:ext cx="648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1224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24</xdr:row>
      <xdr:rowOff>0</xdr:rowOff>
    </xdr:from>
    <xdr:ext cx="7200000" cy="396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7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3" customWidth="1"/>
    <col min="2" max="2" width="10" customWidth="1"/>
    <col min="3" max="3" width="11" customWidth="1"/>
    <col min="4" max="4" width="12" customWidth="1"/>
    <col min="5" max="5" width="8" customWidth="1"/>
    <col min="6" max="6" width="12" customWidth="1"/>
    <col min="7" max="7" width="13" customWidth="1"/>
    <col min="8" max="8" width="11" customWidth="1"/>
    <col min="9" max="9" width="9" customWidth="1"/>
  </cols>
  <sheetData>
    <row r="1" spans="1:9" ht="3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 t="s">
        <v>9</v>
      </c>
      <c r="B2" s="2" t="s">
        <v>10</v>
      </c>
      <c r="C2" s="3">
        <v>75</v>
      </c>
      <c r="D2" s="3">
        <v>53</v>
      </c>
      <c r="E2" s="3">
        <v>75</v>
      </c>
      <c r="F2" s="2">
        <f t="shared" ref="F2:F33" si="0">D2+E2</f>
        <v>128</v>
      </c>
      <c r="G2" s="3">
        <v>373</v>
      </c>
      <c r="H2" s="2">
        <f t="shared" ref="H2:H33" si="1">G2-F2</f>
        <v>245</v>
      </c>
      <c r="I2" s="4">
        <f t="shared" ref="I2:I33" si="2">IFERROR(H2/G2,0)</f>
        <v>0.65683646112600536</v>
      </c>
    </row>
    <row r="3" spans="1:9" x14ac:dyDescent="0.35">
      <c r="A3" s="2" t="s">
        <v>11</v>
      </c>
      <c r="B3" s="2" t="s">
        <v>10</v>
      </c>
      <c r="C3" s="3">
        <v>75</v>
      </c>
      <c r="D3" s="3">
        <v>58</v>
      </c>
      <c r="E3" s="3">
        <v>75</v>
      </c>
      <c r="F3" s="2">
        <f t="shared" si="0"/>
        <v>133</v>
      </c>
      <c r="G3" s="3">
        <v>337</v>
      </c>
      <c r="H3" s="2">
        <f t="shared" si="1"/>
        <v>204</v>
      </c>
      <c r="I3" s="4">
        <f t="shared" si="2"/>
        <v>0.60534124629080122</v>
      </c>
    </row>
    <row r="4" spans="1:9" x14ac:dyDescent="0.35">
      <c r="A4" s="2" t="s">
        <v>12</v>
      </c>
      <c r="B4" s="2" t="s">
        <v>10</v>
      </c>
      <c r="C4" s="3">
        <v>60</v>
      </c>
      <c r="D4" s="3">
        <v>33</v>
      </c>
      <c r="E4" s="3">
        <v>60</v>
      </c>
      <c r="F4" s="2">
        <f t="shared" si="0"/>
        <v>93</v>
      </c>
      <c r="G4" s="3">
        <v>241</v>
      </c>
      <c r="H4" s="2">
        <f t="shared" si="1"/>
        <v>148</v>
      </c>
      <c r="I4" s="4">
        <f t="shared" si="2"/>
        <v>0.61410788381742742</v>
      </c>
    </row>
    <row r="5" spans="1:9" x14ac:dyDescent="0.35">
      <c r="A5" s="2" t="s">
        <v>13</v>
      </c>
      <c r="B5" s="2" t="s">
        <v>10</v>
      </c>
      <c r="C5" s="3">
        <v>80</v>
      </c>
      <c r="D5" s="3">
        <v>55</v>
      </c>
      <c r="E5" s="3">
        <v>80</v>
      </c>
      <c r="F5" s="2">
        <f t="shared" si="0"/>
        <v>135</v>
      </c>
      <c r="G5" s="3">
        <v>470</v>
      </c>
      <c r="H5" s="2">
        <f t="shared" si="1"/>
        <v>335</v>
      </c>
      <c r="I5" s="4">
        <f t="shared" si="2"/>
        <v>0.71276595744680848</v>
      </c>
    </row>
    <row r="6" spans="1:9" x14ac:dyDescent="0.35">
      <c r="A6" s="2" t="s">
        <v>14</v>
      </c>
      <c r="B6" s="2" t="s">
        <v>10</v>
      </c>
      <c r="C6" s="3">
        <v>80</v>
      </c>
      <c r="D6" s="3">
        <v>57</v>
      </c>
      <c r="E6" s="3">
        <v>80</v>
      </c>
      <c r="F6" s="2">
        <f t="shared" si="0"/>
        <v>137</v>
      </c>
      <c r="G6" s="3">
        <v>492</v>
      </c>
      <c r="H6" s="2">
        <f t="shared" si="1"/>
        <v>355</v>
      </c>
      <c r="I6" s="4">
        <f t="shared" si="2"/>
        <v>0.72154471544715448</v>
      </c>
    </row>
    <row r="7" spans="1:9" x14ac:dyDescent="0.35">
      <c r="A7" s="2" t="s">
        <v>15</v>
      </c>
      <c r="B7" s="2" t="s">
        <v>10</v>
      </c>
      <c r="C7" s="3">
        <v>65</v>
      </c>
      <c r="D7" s="3">
        <v>49</v>
      </c>
      <c r="E7" s="3">
        <v>65</v>
      </c>
      <c r="F7" s="2">
        <f t="shared" si="0"/>
        <v>114</v>
      </c>
      <c r="G7" s="3">
        <v>311</v>
      </c>
      <c r="H7" s="2">
        <f t="shared" si="1"/>
        <v>197</v>
      </c>
      <c r="I7" s="4">
        <f t="shared" si="2"/>
        <v>0.63344051446945338</v>
      </c>
    </row>
    <row r="8" spans="1:9" x14ac:dyDescent="0.35">
      <c r="A8" s="2" t="s">
        <v>16</v>
      </c>
      <c r="B8" s="2" t="s">
        <v>10</v>
      </c>
      <c r="C8" s="3">
        <v>67</v>
      </c>
      <c r="D8" s="3">
        <v>35</v>
      </c>
      <c r="E8" s="3">
        <v>67</v>
      </c>
      <c r="F8" s="2">
        <f t="shared" si="0"/>
        <v>102</v>
      </c>
      <c r="G8" s="3">
        <v>332</v>
      </c>
      <c r="H8" s="2">
        <f t="shared" si="1"/>
        <v>230</v>
      </c>
      <c r="I8" s="4">
        <f t="shared" si="2"/>
        <v>0.69277108433734935</v>
      </c>
    </row>
    <row r="9" spans="1:9" x14ac:dyDescent="0.35">
      <c r="A9" s="2" t="s">
        <v>17</v>
      </c>
      <c r="B9" s="2" t="s">
        <v>10</v>
      </c>
      <c r="C9" s="3">
        <v>66</v>
      </c>
      <c r="D9" s="3">
        <v>43</v>
      </c>
      <c r="E9" s="3">
        <v>66</v>
      </c>
      <c r="F9" s="2">
        <f t="shared" si="0"/>
        <v>109</v>
      </c>
      <c r="G9" s="3">
        <v>326</v>
      </c>
      <c r="H9" s="2">
        <f t="shared" si="1"/>
        <v>217</v>
      </c>
      <c r="I9" s="4">
        <f t="shared" si="2"/>
        <v>0.66564417177914115</v>
      </c>
    </row>
    <row r="10" spans="1:9" x14ac:dyDescent="0.35">
      <c r="A10" s="2" t="s">
        <v>18</v>
      </c>
      <c r="B10" s="2" t="s">
        <v>10</v>
      </c>
      <c r="C10" s="3">
        <v>74</v>
      </c>
      <c r="D10" s="3">
        <v>55</v>
      </c>
      <c r="E10" s="3">
        <v>74</v>
      </c>
      <c r="F10" s="2">
        <f t="shared" si="0"/>
        <v>129</v>
      </c>
      <c r="G10" s="3">
        <v>396</v>
      </c>
      <c r="H10" s="2">
        <f t="shared" si="1"/>
        <v>267</v>
      </c>
      <c r="I10" s="4">
        <f t="shared" si="2"/>
        <v>0.6742424242424242</v>
      </c>
    </row>
    <row r="11" spans="1:9" x14ac:dyDescent="0.35">
      <c r="A11" s="2" t="s">
        <v>19</v>
      </c>
      <c r="B11" s="2" t="s">
        <v>10</v>
      </c>
      <c r="C11" s="3">
        <v>58</v>
      </c>
      <c r="D11" s="3">
        <v>35</v>
      </c>
      <c r="E11" s="3">
        <v>58</v>
      </c>
      <c r="F11" s="2">
        <f t="shared" si="0"/>
        <v>93</v>
      </c>
      <c r="G11" s="3">
        <v>234</v>
      </c>
      <c r="H11" s="2">
        <f t="shared" si="1"/>
        <v>141</v>
      </c>
      <c r="I11" s="4">
        <f t="shared" si="2"/>
        <v>0.60256410256410253</v>
      </c>
    </row>
    <row r="12" spans="1:9" x14ac:dyDescent="0.35">
      <c r="A12" s="2" t="s">
        <v>20</v>
      </c>
      <c r="B12" s="2" t="s">
        <v>10</v>
      </c>
      <c r="C12" s="3">
        <v>57</v>
      </c>
      <c r="D12" s="3">
        <v>29</v>
      </c>
      <c r="E12" s="3">
        <v>57</v>
      </c>
      <c r="F12" s="2">
        <f t="shared" si="0"/>
        <v>86</v>
      </c>
      <c r="G12" s="3">
        <v>244</v>
      </c>
      <c r="H12" s="2">
        <f t="shared" si="1"/>
        <v>158</v>
      </c>
      <c r="I12" s="4">
        <f t="shared" si="2"/>
        <v>0.64754098360655743</v>
      </c>
    </row>
    <row r="13" spans="1:9" x14ac:dyDescent="0.35">
      <c r="A13" s="2" t="s">
        <v>21</v>
      </c>
      <c r="B13" s="2" t="s">
        <v>10</v>
      </c>
      <c r="C13" s="3">
        <v>62</v>
      </c>
      <c r="D13" s="3">
        <v>40</v>
      </c>
      <c r="E13" s="3">
        <v>62</v>
      </c>
      <c r="F13" s="2">
        <f t="shared" si="0"/>
        <v>102</v>
      </c>
      <c r="G13" s="3">
        <v>261</v>
      </c>
      <c r="H13" s="2">
        <f t="shared" si="1"/>
        <v>159</v>
      </c>
      <c r="I13" s="4">
        <f t="shared" si="2"/>
        <v>0.60919540229885061</v>
      </c>
    </row>
    <row r="14" spans="1:9" x14ac:dyDescent="0.35">
      <c r="A14" s="2" t="s">
        <v>22</v>
      </c>
      <c r="B14" s="2" t="s">
        <v>10</v>
      </c>
      <c r="C14" s="3">
        <v>56</v>
      </c>
      <c r="D14" s="3">
        <v>24</v>
      </c>
      <c r="E14" s="3">
        <v>56</v>
      </c>
      <c r="F14" s="2">
        <f t="shared" si="0"/>
        <v>80</v>
      </c>
      <c r="G14" s="3">
        <v>232</v>
      </c>
      <c r="H14" s="2">
        <f t="shared" si="1"/>
        <v>152</v>
      </c>
      <c r="I14" s="4">
        <f t="shared" si="2"/>
        <v>0.65517241379310343</v>
      </c>
    </row>
    <row r="15" spans="1:9" x14ac:dyDescent="0.35">
      <c r="A15" s="2" t="s">
        <v>23</v>
      </c>
      <c r="B15" s="2" t="s">
        <v>10</v>
      </c>
      <c r="C15" s="3">
        <v>57</v>
      </c>
      <c r="D15" s="3">
        <v>30</v>
      </c>
      <c r="E15" s="3">
        <v>57</v>
      </c>
      <c r="F15" s="2">
        <f t="shared" si="0"/>
        <v>87</v>
      </c>
      <c r="G15" s="3">
        <v>239</v>
      </c>
      <c r="H15" s="2">
        <f t="shared" si="1"/>
        <v>152</v>
      </c>
      <c r="I15" s="4">
        <f t="shared" si="2"/>
        <v>0.63598326359832635</v>
      </c>
    </row>
    <row r="16" spans="1:9" x14ac:dyDescent="0.35">
      <c r="A16" s="2" t="s">
        <v>24</v>
      </c>
      <c r="B16" s="2" t="s">
        <v>10</v>
      </c>
      <c r="C16" s="3">
        <v>71</v>
      </c>
      <c r="D16" s="3">
        <v>44</v>
      </c>
      <c r="E16" s="3">
        <v>71</v>
      </c>
      <c r="F16" s="2">
        <f t="shared" si="0"/>
        <v>115</v>
      </c>
      <c r="G16" s="3">
        <v>361</v>
      </c>
      <c r="H16" s="2">
        <f t="shared" si="1"/>
        <v>246</v>
      </c>
      <c r="I16" s="4">
        <f t="shared" si="2"/>
        <v>0.68144044321329644</v>
      </c>
    </row>
    <row r="17" spans="1:9" x14ac:dyDescent="0.35">
      <c r="A17" s="2" t="s">
        <v>25</v>
      </c>
      <c r="B17" s="2" t="s">
        <v>10</v>
      </c>
      <c r="C17" s="3">
        <v>67</v>
      </c>
      <c r="D17" s="3">
        <v>45</v>
      </c>
      <c r="E17" s="3">
        <v>67</v>
      </c>
      <c r="F17" s="2">
        <f t="shared" si="0"/>
        <v>112</v>
      </c>
      <c r="G17" s="3">
        <v>307</v>
      </c>
      <c r="H17" s="2">
        <f t="shared" si="1"/>
        <v>195</v>
      </c>
      <c r="I17" s="4">
        <f t="shared" si="2"/>
        <v>0.63517915309446249</v>
      </c>
    </row>
    <row r="18" spans="1:9" x14ac:dyDescent="0.35">
      <c r="A18" s="2" t="s">
        <v>26</v>
      </c>
      <c r="B18" s="2" t="s">
        <v>10</v>
      </c>
      <c r="C18" s="3">
        <v>66</v>
      </c>
      <c r="D18" s="3">
        <v>37</v>
      </c>
      <c r="E18" s="3">
        <v>66</v>
      </c>
      <c r="F18" s="2">
        <f t="shared" si="0"/>
        <v>103</v>
      </c>
      <c r="G18" s="3">
        <v>293</v>
      </c>
      <c r="H18" s="2">
        <f t="shared" si="1"/>
        <v>190</v>
      </c>
      <c r="I18" s="4">
        <f t="shared" si="2"/>
        <v>0.64846416382252559</v>
      </c>
    </row>
    <row r="19" spans="1:9" x14ac:dyDescent="0.35">
      <c r="A19" s="2" t="s">
        <v>27</v>
      </c>
      <c r="B19" s="2" t="s">
        <v>10</v>
      </c>
      <c r="C19" s="3">
        <v>57</v>
      </c>
      <c r="D19" s="3">
        <v>34</v>
      </c>
      <c r="E19" s="3">
        <v>57</v>
      </c>
      <c r="F19" s="2">
        <f t="shared" si="0"/>
        <v>91</v>
      </c>
      <c r="G19" s="3">
        <v>224</v>
      </c>
      <c r="H19" s="2">
        <f t="shared" si="1"/>
        <v>133</v>
      </c>
      <c r="I19" s="4">
        <f t="shared" si="2"/>
        <v>0.59375</v>
      </c>
    </row>
    <row r="20" spans="1:9" x14ac:dyDescent="0.35">
      <c r="A20" s="2" t="s">
        <v>28</v>
      </c>
      <c r="B20" s="2" t="s">
        <v>10</v>
      </c>
      <c r="C20" s="3">
        <v>68</v>
      </c>
      <c r="D20" s="3">
        <v>41</v>
      </c>
      <c r="E20" s="3">
        <v>68</v>
      </c>
      <c r="F20" s="2">
        <f t="shared" si="0"/>
        <v>109</v>
      </c>
      <c r="G20" s="3">
        <v>331</v>
      </c>
      <c r="H20" s="2">
        <f t="shared" si="1"/>
        <v>222</v>
      </c>
      <c r="I20" s="4">
        <f t="shared" si="2"/>
        <v>0.67069486404833834</v>
      </c>
    </row>
    <row r="21" spans="1:9" x14ac:dyDescent="0.35">
      <c r="A21" s="2" t="s">
        <v>29</v>
      </c>
      <c r="B21" s="2" t="s">
        <v>10</v>
      </c>
      <c r="C21" s="3">
        <v>63</v>
      </c>
      <c r="D21" s="3">
        <v>31</v>
      </c>
      <c r="E21" s="3">
        <v>63</v>
      </c>
      <c r="F21" s="2">
        <f t="shared" si="0"/>
        <v>94</v>
      </c>
      <c r="G21" s="3">
        <v>271</v>
      </c>
      <c r="H21" s="2">
        <f t="shared" si="1"/>
        <v>177</v>
      </c>
      <c r="I21" s="4">
        <f t="shared" si="2"/>
        <v>0.65313653136531369</v>
      </c>
    </row>
    <row r="22" spans="1:9" x14ac:dyDescent="0.35">
      <c r="A22" s="2" t="s">
        <v>30</v>
      </c>
      <c r="B22" s="2" t="s">
        <v>10</v>
      </c>
      <c r="C22" s="3">
        <v>64</v>
      </c>
      <c r="D22" s="3">
        <v>39</v>
      </c>
      <c r="E22" s="3">
        <v>64</v>
      </c>
      <c r="F22" s="2">
        <f t="shared" si="0"/>
        <v>103</v>
      </c>
      <c r="G22" s="3">
        <v>272</v>
      </c>
      <c r="H22" s="2">
        <f t="shared" si="1"/>
        <v>169</v>
      </c>
      <c r="I22" s="4">
        <f t="shared" si="2"/>
        <v>0.62132352941176472</v>
      </c>
    </row>
    <row r="23" spans="1:9" x14ac:dyDescent="0.35">
      <c r="A23" s="2" t="s">
        <v>31</v>
      </c>
      <c r="B23" s="2" t="s">
        <v>10</v>
      </c>
      <c r="C23" s="3">
        <v>60</v>
      </c>
      <c r="D23" s="3">
        <v>43</v>
      </c>
      <c r="E23" s="3">
        <v>60</v>
      </c>
      <c r="F23" s="2">
        <f t="shared" si="0"/>
        <v>103</v>
      </c>
      <c r="G23" s="3">
        <v>246</v>
      </c>
      <c r="H23" s="2">
        <f t="shared" si="1"/>
        <v>143</v>
      </c>
      <c r="I23" s="4">
        <f t="shared" si="2"/>
        <v>0.58130081300813008</v>
      </c>
    </row>
    <row r="24" spans="1:9" x14ac:dyDescent="0.35">
      <c r="A24" s="2" t="s">
        <v>32</v>
      </c>
      <c r="B24" s="2" t="s">
        <v>10</v>
      </c>
      <c r="C24" s="3">
        <v>72</v>
      </c>
      <c r="D24" s="3">
        <v>45</v>
      </c>
      <c r="E24" s="3">
        <v>72</v>
      </c>
      <c r="F24" s="2">
        <f t="shared" si="0"/>
        <v>117</v>
      </c>
      <c r="G24" s="3">
        <v>364</v>
      </c>
      <c r="H24" s="2">
        <f t="shared" si="1"/>
        <v>247</v>
      </c>
      <c r="I24" s="4">
        <f t="shared" si="2"/>
        <v>0.6785714285714286</v>
      </c>
    </row>
    <row r="25" spans="1:9" x14ac:dyDescent="0.35">
      <c r="A25" s="2" t="s">
        <v>33</v>
      </c>
      <c r="B25" s="2" t="s">
        <v>10</v>
      </c>
      <c r="C25" s="3">
        <v>61</v>
      </c>
      <c r="D25" s="3">
        <v>27</v>
      </c>
      <c r="E25" s="3">
        <v>61</v>
      </c>
      <c r="F25" s="2">
        <f t="shared" si="0"/>
        <v>88</v>
      </c>
      <c r="G25" s="3">
        <v>271</v>
      </c>
      <c r="H25" s="2">
        <f t="shared" si="1"/>
        <v>183</v>
      </c>
      <c r="I25" s="4">
        <f t="shared" si="2"/>
        <v>0.67527675276752763</v>
      </c>
    </row>
    <row r="26" spans="1:9" x14ac:dyDescent="0.35">
      <c r="A26" s="2" t="s">
        <v>34</v>
      </c>
      <c r="B26" s="2" t="s">
        <v>10</v>
      </c>
      <c r="C26" s="3">
        <v>67</v>
      </c>
      <c r="D26" s="3">
        <v>40</v>
      </c>
      <c r="E26" s="3">
        <v>67</v>
      </c>
      <c r="F26" s="2">
        <f t="shared" si="0"/>
        <v>107</v>
      </c>
      <c r="G26" s="3">
        <v>309</v>
      </c>
      <c r="H26" s="2">
        <f t="shared" si="1"/>
        <v>202</v>
      </c>
      <c r="I26" s="4">
        <f t="shared" si="2"/>
        <v>0.65372168284789645</v>
      </c>
    </row>
    <row r="27" spans="1:9" x14ac:dyDescent="0.35">
      <c r="A27" s="2" t="s">
        <v>35</v>
      </c>
      <c r="B27" s="2" t="s">
        <v>10</v>
      </c>
      <c r="C27" s="3">
        <v>60</v>
      </c>
      <c r="D27" s="3">
        <v>34</v>
      </c>
      <c r="E27" s="3">
        <v>60</v>
      </c>
      <c r="F27" s="2">
        <f t="shared" si="0"/>
        <v>94</v>
      </c>
      <c r="G27" s="3">
        <v>265</v>
      </c>
      <c r="H27" s="2">
        <f t="shared" si="1"/>
        <v>171</v>
      </c>
      <c r="I27" s="4">
        <f t="shared" si="2"/>
        <v>0.6452830188679245</v>
      </c>
    </row>
    <row r="28" spans="1:9" x14ac:dyDescent="0.35">
      <c r="A28" s="2" t="s">
        <v>36</v>
      </c>
      <c r="B28" s="2" t="s">
        <v>10</v>
      </c>
      <c r="C28" s="3">
        <v>73</v>
      </c>
      <c r="D28" s="3">
        <v>35</v>
      </c>
      <c r="E28" s="3">
        <v>73</v>
      </c>
      <c r="F28" s="2">
        <f t="shared" si="0"/>
        <v>108</v>
      </c>
      <c r="G28" s="3">
        <v>372</v>
      </c>
      <c r="H28" s="2">
        <f t="shared" si="1"/>
        <v>264</v>
      </c>
      <c r="I28" s="4">
        <f t="shared" si="2"/>
        <v>0.70967741935483875</v>
      </c>
    </row>
    <row r="29" spans="1:9" x14ac:dyDescent="0.35">
      <c r="A29" s="2" t="s">
        <v>37</v>
      </c>
      <c r="B29" s="2" t="s">
        <v>10</v>
      </c>
      <c r="C29" s="3">
        <v>66</v>
      </c>
      <c r="D29" s="3">
        <v>63</v>
      </c>
      <c r="E29" s="3">
        <v>66</v>
      </c>
      <c r="F29" s="2">
        <f t="shared" si="0"/>
        <v>129</v>
      </c>
      <c r="G29" s="3">
        <v>298</v>
      </c>
      <c r="H29" s="2">
        <f t="shared" si="1"/>
        <v>169</v>
      </c>
      <c r="I29" s="4">
        <f t="shared" si="2"/>
        <v>0.56711409395973156</v>
      </c>
    </row>
    <row r="30" spans="1:9" x14ac:dyDescent="0.35">
      <c r="A30" s="2" t="s">
        <v>38</v>
      </c>
      <c r="B30" s="2" t="s">
        <v>10</v>
      </c>
      <c r="C30" s="3">
        <v>53</v>
      </c>
      <c r="D30" s="3">
        <v>21</v>
      </c>
      <c r="E30" s="3">
        <v>53</v>
      </c>
      <c r="F30" s="2">
        <f t="shared" si="0"/>
        <v>74</v>
      </c>
      <c r="G30" s="3">
        <v>206</v>
      </c>
      <c r="H30" s="2">
        <f t="shared" si="1"/>
        <v>132</v>
      </c>
      <c r="I30" s="4">
        <f t="shared" si="2"/>
        <v>0.64077669902912626</v>
      </c>
    </row>
    <row r="31" spans="1:9" x14ac:dyDescent="0.35">
      <c r="A31" s="2" t="s">
        <v>39</v>
      </c>
      <c r="B31" s="2" t="s">
        <v>10</v>
      </c>
      <c r="C31" s="3">
        <v>64</v>
      </c>
      <c r="D31" s="3">
        <v>51</v>
      </c>
      <c r="E31" s="3">
        <v>64</v>
      </c>
      <c r="F31" s="2">
        <f t="shared" si="0"/>
        <v>115</v>
      </c>
      <c r="G31" s="3">
        <v>293</v>
      </c>
      <c r="H31" s="2">
        <f t="shared" si="1"/>
        <v>178</v>
      </c>
      <c r="I31" s="4">
        <f t="shared" si="2"/>
        <v>0.60750853242320824</v>
      </c>
    </row>
    <row r="32" spans="1:9" x14ac:dyDescent="0.35">
      <c r="A32" s="2" t="s">
        <v>40</v>
      </c>
      <c r="B32" s="2" t="s">
        <v>10</v>
      </c>
      <c r="C32" s="3">
        <v>71</v>
      </c>
      <c r="D32" s="3">
        <v>47</v>
      </c>
      <c r="E32" s="3">
        <v>71</v>
      </c>
      <c r="F32" s="2">
        <f t="shared" si="0"/>
        <v>118</v>
      </c>
      <c r="G32" s="3">
        <v>336</v>
      </c>
      <c r="H32" s="2">
        <f t="shared" si="1"/>
        <v>218</v>
      </c>
      <c r="I32" s="4">
        <f t="shared" si="2"/>
        <v>0.64880952380952384</v>
      </c>
    </row>
    <row r="33" spans="1:9" x14ac:dyDescent="0.35">
      <c r="A33" s="2" t="s">
        <v>41</v>
      </c>
      <c r="B33" s="2" t="s">
        <v>10</v>
      </c>
      <c r="C33" s="3">
        <v>57</v>
      </c>
      <c r="D33" s="3">
        <v>27</v>
      </c>
      <c r="E33" s="3">
        <v>57</v>
      </c>
      <c r="F33" s="2">
        <f t="shared" si="0"/>
        <v>84</v>
      </c>
      <c r="G33" s="3">
        <v>224</v>
      </c>
      <c r="H33" s="2">
        <f t="shared" si="1"/>
        <v>140</v>
      </c>
      <c r="I33" s="4">
        <f t="shared" si="2"/>
        <v>0.625</v>
      </c>
    </row>
    <row r="34" spans="1:9" x14ac:dyDescent="0.35">
      <c r="A34" s="2" t="s">
        <v>42</v>
      </c>
      <c r="B34" s="2" t="s">
        <v>10</v>
      </c>
      <c r="C34" s="3">
        <v>49</v>
      </c>
      <c r="D34" s="3">
        <v>18</v>
      </c>
      <c r="E34" s="3">
        <v>49</v>
      </c>
      <c r="F34" s="2">
        <f t="shared" ref="F34:F65" si="3">D34+E34</f>
        <v>67</v>
      </c>
      <c r="G34" s="3">
        <v>181</v>
      </c>
      <c r="H34" s="2">
        <f t="shared" ref="H34:H65" si="4">G34-F34</f>
        <v>114</v>
      </c>
      <c r="I34" s="4">
        <f t="shared" ref="I34:I65" si="5">IFERROR(H34/G34,0)</f>
        <v>0.62983425414364635</v>
      </c>
    </row>
    <row r="35" spans="1:9" x14ac:dyDescent="0.35">
      <c r="A35" s="2" t="s">
        <v>43</v>
      </c>
      <c r="B35" s="2" t="s">
        <v>10</v>
      </c>
      <c r="C35" s="3">
        <v>64</v>
      </c>
      <c r="D35" s="3">
        <v>37</v>
      </c>
      <c r="E35" s="3">
        <v>64</v>
      </c>
      <c r="F35" s="2">
        <f t="shared" si="3"/>
        <v>101</v>
      </c>
      <c r="G35" s="3">
        <v>249</v>
      </c>
      <c r="H35" s="2">
        <f t="shared" si="4"/>
        <v>148</v>
      </c>
      <c r="I35" s="4">
        <f t="shared" si="5"/>
        <v>0.59437751004016059</v>
      </c>
    </row>
    <row r="36" spans="1:9" x14ac:dyDescent="0.35">
      <c r="A36" s="2" t="s">
        <v>44</v>
      </c>
      <c r="B36" s="2" t="s">
        <v>10</v>
      </c>
      <c r="C36" s="3">
        <v>50</v>
      </c>
      <c r="D36" s="3">
        <v>28</v>
      </c>
      <c r="E36" s="3">
        <v>50</v>
      </c>
      <c r="F36" s="2">
        <f t="shared" si="3"/>
        <v>78</v>
      </c>
      <c r="G36" s="3">
        <v>191</v>
      </c>
      <c r="H36" s="2">
        <f t="shared" si="4"/>
        <v>113</v>
      </c>
      <c r="I36" s="4">
        <f t="shared" si="5"/>
        <v>0.59162303664921467</v>
      </c>
    </row>
    <row r="37" spans="1:9" x14ac:dyDescent="0.35">
      <c r="A37" s="2" t="s">
        <v>45</v>
      </c>
      <c r="B37" s="2" t="s">
        <v>46</v>
      </c>
      <c r="C37" s="3">
        <v>60</v>
      </c>
      <c r="D37" s="3">
        <v>35</v>
      </c>
      <c r="E37" s="3">
        <v>60</v>
      </c>
      <c r="F37" s="2">
        <f t="shared" si="3"/>
        <v>95</v>
      </c>
      <c r="G37" s="3">
        <v>201</v>
      </c>
      <c r="H37" s="2">
        <f t="shared" si="4"/>
        <v>106</v>
      </c>
      <c r="I37" s="4">
        <f t="shared" si="5"/>
        <v>0.52736318407960203</v>
      </c>
    </row>
    <row r="38" spans="1:9" x14ac:dyDescent="0.35">
      <c r="A38" s="2" t="s">
        <v>47</v>
      </c>
      <c r="B38" s="2" t="s">
        <v>46</v>
      </c>
      <c r="C38" s="3">
        <v>70</v>
      </c>
      <c r="D38" s="3">
        <v>50</v>
      </c>
      <c r="E38" s="3">
        <v>70</v>
      </c>
      <c r="F38" s="2">
        <f t="shared" si="3"/>
        <v>120</v>
      </c>
      <c r="G38" s="3">
        <v>286</v>
      </c>
      <c r="H38" s="2">
        <f t="shared" si="4"/>
        <v>166</v>
      </c>
      <c r="I38" s="4">
        <f t="shared" si="5"/>
        <v>0.58041958041958042</v>
      </c>
    </row>
    <row r="39" spans="1:9" x14ac:dyDescent="0.35">
      <c r="A39" s="2" t="s">
        <v>48</v>
      </c>
      <c r="B39" s="2" t="s">
        <v>46</v>
      </c>
      <c r="C39" s="3">
        <v>80</v>
      </c>
      <c r="D39" s="3">
        <v>66</v>
      </c>
      <c r="E39" s="3">
        <v>80</v>
      </c>
      <c r="F39" s="2">
        <f t="shared" si="3"/>
        <v>146</v>
      </c>
      <c r="G39" s="3">
        <v>371</v>
      </c>
      <c r="H39" s="2">
        <f t="shared" si="4"/>
        <v>225</v>
      </c>
      <c r="I39" s="4">
        <f t="shared" si="5"/>
        <v>0.60646900269541781</v>
      </c>
    </row>
    <row r="40" spans="1:9" x14ac:dyDescent="0.35">
      <c r="A40" s="2" t="s">
        <v>49</v>
      </c>
      <c r="B40" s="2" t="s">
        <v>46</v>
      </c>
      <c r="C40" s="3">
        <v>70</v>
      </c>
      <c r="D40" s="3">
        <v>53</v>
      </c>
      <c r="E40" s="3">
        <v>70</v>
      </c>
      <c r="F40" s="2">
        <f t="shared" si="3"/>
        <v>123</v>
      </c>
      <c r="G40" s="3">
        <v>263</v>
      </c>
      <c r="H40" s="2">
        <f t="shared" si="4"/>
        <v>140</v>
      </c>
      <c r="I40" s="4">
        <f t="shared" si="5"/>
        <v>0.53231939163498099</v>
      </c>
    </row>
    <row r="41" spans="1:9" x14ac:dyDescent="0.35">
      <c r="A41" s="2" t="s">
        <v>50</v>
      </c>
      <c r="B41" s="2" t="s">
        <v>46</v>
      </c>
      <c r="C41" s="3">
        <v>50</v>
      </c>
      <c r="D41" s="3">
        <v>15</v>
      </c>
      <c r="E41" s="3">
        <v>50</v>
      </c>
      <c r="F41" s="2">
        <f t="shared" si="3"/>
        <v>65</v>
      </c>
      <c r="G41" s="3">
        <v>148</v>
      </c>
      <c r="H41" s="2">
        <f t="shared" si="4"/>
        <v>83</v>
      </c>
      <c r="I41" s="4">
        <f t="shared" si="5"/>
        <v>0.56081081081081086</v>
      </c>
    </row>
    <row r="42" spans="1:9" x14ac:dyDescent="0.35">
      <c r="A42" s="2" t="s">
        <v>51</v>
      </c>
      <c r="B42" s="2" t="s">
        <v>46</v>
      </c>
      <c r="C42" s="3">
        <v>50</v>
      </c>
      <c r="D42" s="3">
        <v>15</v>
      </c>
      <c r="E42" s="3">
        <v>50</v>
      </c>
      <c r="F42" s="2">
        <f t="shared" si="3"/>
        <v>65</v>
      </c>
      <c r="G42" s="3">
        <v>143</v>
      </c>
      <c r="H42" s="2">
        <f t="shared" si="4"/>
        <v>78</v>
      </c>
      <c r="I42" s="4">
        <f t="shared" si="5"/>
        <v>0.54545454545454541</v>
      </c>
    </row>
    <row r="43" spans="1:9" x14ac:dyDescent="0.35">
      <c r="A43" s="2" t="s">
        <v>52</v>
      </c>
      <c r="B43" s="2" t="s">
        <v>46</v>
      </c>
      <c r="C43" s="3">
        <v>70</v>
      </c>
      <c r="D43" s="3">
        <v>51</v>
      </c>
      <c r="E43" s="3">
        <v>70</v>
      </c>
      <c r="F43" s="2">
        <f t="shared" si="3"/>
        <v>121</v>
      </c>
      <c r="G43" s="3">
        <v>246</v>
      </c>
      <c r="H43" s="2">
        <f t="shared" si="4"/>
        <v>125</v>
      </c>
      <c r="I43" s="4">
        <f t="shared" si="5"/>
        <v>0.50813008130081305</v>
      </c>
    </row>
    <row r="44" spans="1:9" x14ac:dyDescent="0.35">
      <c r="A44" s="2" t="s">
        <v>53</v>
      </c>
      <c r="B44" s="2" t="s">
        <v>46</v>
      </c>
      <c r="C44" s="3">
        <v>80</v>
      </c>
      <c r="D44" s="3">
        <v>65</v>
      </c>
      <c r="E44" s="3">
        <v>80</v>
      </c>
      <c r="F44" s="2">
        <f t="shared" si="3"/>
        <v>145</v>
      </c>
      <c r="G44" s="3">
        <v>398</v>
      </c>
      <c r="H44" s="2">
        <f t="shared" si="4"/>
        <v>253</v>
      </c>
      <c r="I44" s="4">
        <f t="shared" si="5"/>
        <v>0.63567839195979903</v>
      </c>
    </row>
    <row r="45" spans="1:9" x14ac:dyDescent="0.35">
      <c r="A45" s="2" t="s">
        <v>54</v>
      </c>
      <c r="B45" s="2" t="s">
        <v>46</v>
      </c>
      <c r="C45" s="3">
        <v>60</v>
      </c>
      <c r="D45" s="3">
        <v>38</v>
      </c>
      <c r="E45" s="3">
        <v>60</v>
      </c>
      <c r="F45" s="2">
        <f t="shared" si="3"/>
        <v>98</v>
      </c>
      <c r="G45" s="3">
        <v>203</v>
      </c>
      <c r="H45" s="2">
        <f t="shared" si="4"/>
        <v>105</v>
      </c>
      <c r="I45" s="4">
        <f t="shared" si="5"/>
        <v>0.51724137931034486</v>
      </c>
    </row>
    <row r="46" spans="1:9" x14ac:dyDescent="0.35">
      <c r="A46" s="2" t="s">
        <v>55</v>
      </c>
      <c r="B46" s="2" t="s">
        <v>46</v>
      </c>
      <c r="C46" s="3">
        <v>50</v>
      </c>
      <c r="D46" s="3">
        <v>15</v>
      </c>
      <c r="E46" s="3">
        <v>50</v>
      </c>
      <c r="F46" s="2">
        <f t="shared" si="3"/>
        <v>65</v>
      </c>
      <c r="G46" s="3">
        <v>148</v>
      </c>
      <c r="H46" s="2">
        <f t="shared" si="4"/>
        <v>83</v>
      </c>
      <c r="I46" s="4">
        <f t="shared" si="5"/>
        <v>0.56081081081081086</v>
      </c>
    </row>
    <row r="47" spans="1:9" x14ac:dyDescent="0.35">
      <c r="A47" s="2" t="s">
        <v>56</v>
      </c>
      <c r="B47" s="2" t="s">
        <v>46</v>
      </c>
      <c r="C47" s="3">
        <v>70</v>
      </c>
      <c r="D47" s="3">
        <v>52</v>
      </c>
      <c r="E47" s="3">
        <v>70</v>
      </c>
      <c r="F47" s="2">
        <f t="shared" si="3"/>
        <v>122</v>
      </c>
      <c r="G47" s="3">
        <v>245</v>
      </c>
      <c r="H47" s="2">
        <f t="shared" si="4"/>
        <v>123</v>
      </c>
      <c r="I47" s="4">
        <f t="shared" si="5"/>
        <v>0.50204081632653064</v>
      </c>
    </row>
    <row r="48" spans="1:9" x14ac:dyDescent="0.35">
      <c r="A48" s="2" t="s">
        <v>57</v>
      </c>
      <c r="B48" s="2" t="s">
        <v>46</v>
      </c>
      <c r="C48" s="3">
        <v>80</v>
      </c>
      <c r="D48" s="3">
        <v>65</v>
      </c>
      <c r="E48" s="3">
        <v>80</v>
      </c>
      <c r="F48" s="2">
        <f t="shared" si="3"/>
        <v>145</v>
      </c>
      <c r="G48" s="3">
        <v>336</v>
      </c>
      <c r="H48" s="2">
        <f t="shared" si="4"/>
        <v>191</v>
      </c>
      <c r="I48" s="4">
        <f t="shared" si="5"/>
        <v>0.56845238095238093</v>
      </c>
    </row>
    <row r="49" spans="1:9" x14ac:dyDescent="0.35">
      <c r="A49" s="2" t="s">
        <v>58</v>
      </c>
      <c r="B49" s="2" t="s">
        <v>46</v>
      </c>
      <c r="C49" s="3">
        <v>80</v>
      </c>
      <c r="D49" s="3">
        <v>66</v>
      </c>
      <c r="E49" s="3">
        <v>80</v>
      </c>
      <c r="F49" s="2">
        <f t="shared" si="3"/>
        <v>146</v>
      </c>
      <c r="G49" s="3">
        <v>348</v>
      </c>
      <c r="H49" s="2">
        <f t="shared" si="4"/>
        <v>202</v>
      </c>
      <c r="I49" s="4">
        <f t="shared" si="5"/>
        <v>0.58045977011494254</v>
      </c>
    </row>
    <row r="50" spans="1:9" x14ac:dyDescent="0.35">
      <c r="A50" s="2" t="s">
        <v>59</v>
      </c>
      <c r="B50" s="2" t="s">
        <v>60</v>
      </c>
      <c r="C50" s="3">
        <v>60</v>
      </c>
      <c r="D50" s="3">
        <v>0</v>
      </c>
      <c r="E50" s="3">
        <v>60</v>
      </c>
      <c r="F50" s="2">
        <f t="shared" si="3"/>
        <v>60</v>
      </c>
      <c r="G50" s="3">
        <v>60</v>
      </c>
      <c r="H50" s="2">
        <f t="shared" si="4"/>
        <v>0</v>
      </c>
      <c r="I50" s="4">
        <f t="shared" si="5"/>
        <v>0</v>
      </c>
    </row>
    <row r="51" spans="1:9" x14ac:dyDescent="0.35">
      <c r="A51" s="2" t="s">
        <v>61</v>
      </c>
      <c r="B51" s="2" t="s">
        <v>60</v>
      </c>
      <c r="C51" s="3">
        <v>70</v>
      </c>
      <c r="D51" s="3">
        <v>0</v>
      </c>
      <c r="E51" s="3">
        <v>70</v>
      </c>
      <c r="F51" s="2">
        <f t="shared" si="3"/>
        <v>70</v>
      </c>
      <c r="G51" s="3">
        <v>70</v>
      </c>
      <c r="H51" s="2">
        <f t="shared" si="4"/>
        <v>0</v>
      </c>
      <c r="I51" s="4">
        <f t="shared" si="5"/>
        <v>0</v>
      </c>
    </row>
    <row r="52" spans="1:9" x14ac:dyDescent="0.35">
      <c r="A52" s="2" t="s">
        <v>62</v>
      </c>
      <c r="B52" s="2" t="s">
        <v>60</v>
      </c>
      <c r="C52" s="3">
        <v>80</v>
      </c>
      <c r="D52" s="3">
        <v>0</v>
      </c>
      <c r="E52" s="3">
        <v>80</v>
      </c>
      <c r="F52" s="2">
        <f t="shared" si="3"/>
        <v>80</v>
      </c>
      <c r="G52" s="3">
        <v>80</v>
      </c>
      <c r="H52" s="2">
        <f t="shared" si="4"/>
        <v>0</v>
      </c>
      <c r="I52" s="4">
        <f t="shared" si="5"/>
        <v>0</v>
      </c>
    </row>
    <row r="53" spans="1:9" x14ac:dyDescent="0.35">
      <c r="A53" s="2" t="s">
        <v>63</v>
      </c>
      <c r="B53" s="2" t="s">
        <v>60</v>
      </c>
      <c r="C53" s="3">
        <v>50</v>
      </c>
      <c r="D53" s="3">
        <v>0</v>
      </c>
      <c r="E53" s="3">
        <v>50</v>
      </c>
      <c r="F53" s="2">
        <f t="shared" si="3"/>
        <v>50</v>
      </c>
      <c r="G53" s="3">
        <v>50</v>
      </c>
      <c r="H53" s="2">
        <f t="shared" si="4"/>
        <v>0</v>
      </c>
      <c r="I53" s="4">
        <f t="shared" si="5"/>
        <v>0</v>
      </c>
    </row>
    <row r="54" spans="1:9" x14ac:dyDescent="0.35">
      <c r="A54" s="2" t="s">
        <v>64</v>
      </c>
      <c r="B54" s="2" t="s">
        <v>60</v>
      </c>
      <c r="C54" s="3">
        <v>70</v>
      </c>
      <c r="D54" s="3">
        <v>0</v>
      </c>
      <c r="E54" s="3">
        <v>70</v>
      </c>
      <c r="F54" s="2">
        <f t="shared" si="3"/>
        <v>70</v>
      </c>
      <c r="G54" s="3">
        <v>70</v>
      </c>
      <c r="H54" s="2">
        <f t="shared" si="4"/>
        <v>0</v>
      </c>
      <c r="I54" s="4">
        <f t="shared" si="5"/>
        <v>0</v>
      </c>
    </row>
    <row r="55" spans="1:9" x14ac:dyDescent="0.35">
      <c r="A55" s="2" t="s">
        <v>65</v>
      </c>
      <c r="B55" s="2" t="s">
        <v>60</v>
      </c>
      <c r="C55" s="3">
        <v>80</v>
      </c>
      <c r="D55" s="3">
        <v>0</v>
      </c>
      <c r="E55" s="3">
        <v>80</v>
      </c>
      <c r="F55" s="2">
        <f t="shared" si="3"/>
        <v>80</v>
      </c>
      <c r="G55" s="3">
        <v>80</v>
      </c>
      <c r="H55" s="2">
        <f t="shared" si="4"/>
        <v>0</v>
      </c>
      <c r="I55" s="4">
        <f t="shared" si="5"/>
        <v>0</v>
      </c>
    </row>
    <row r="56" spans="1:9" x14ac:dyDescent="0.35">
      <c r="A56" s="2" t="s">
        <v>66</v>
      </c>
      <c r="B56" s="2" t="s">
        <v>60</v>
      </c>
      <c r="C56" s="3">
        <v>80</v>
      </c>
      <c r="D56" s="3">
        <v>0</v>
      </c>
      <c r="E56" s="3">
        <v>80</v>
      </c>
      <c r="F56" s="2">
        <f t="shared" si="3"/>
        <v>80</v>
      </c>
      <c r="G56" s="3">
        <v>80</v>
      </c>
      <c r="H56" s="2">
        <f t="shared" si="4"/>
        <v>0</v>
      </c>
      <c r="I56" s="4">
        <f t="shared" si="5"/>
        <v>0</v>
      </c>
    </row>
    <row r="57" spans="1:9" x14ac:dyDescent="0.35">
      <c r="A57" s="2" t="s">
        <v>67</v>
      </c>
      <c r="B57" s="2" t="s">
        <v>60</v>
      </c>
      <c r="C57" s="3">
        <v>70</v>
      </c>
      <c r="D57" s="3">
        <v>0</v>
      </c>
      <c r="E57" s="3">
        <v>70</v>
      </c>
      <c r="F57" s="2">
        <f t="shared" si="3"/>
        <v>70</v>
      </c>
      <c r="G57" s="3">
        <v>70</v>
      </c>
      <c r="H57" s="2">
        <f t="shared" si="4"/>
        <v>0</v>
      </c>
      <c r="I57" s="4">
        <f t="shared" si="5"/>
        <v>0</v>
      </c>
    </row>
    <row r="58" spans="1:9" x14ac:dyDescent="0.35">
      <c r="A58" s="2" t="s">
        <v>68</v>
      </c>
      <c r="B58" s="2" t="s">
        <v>60</v>
      </c>
      <c r="C58" s="3">
        <v>50</v>
      </c>
      <c r="D58" s="3">
        <v>0</v>
      </c>
      <c r="E58" s="3">
        <v>50</v>
      </c>
      <c r="F58" s="2">
        <f t="shared" si="3"/>
        <v>50</v>
      </c>
      <c r="G58" s="3">
        <v>50</v>
      </c>
      <c r="H58" s="2">
        <f t="shared" si="4"/>
        <v>0</v>
      </c>
      <c r="I58" s="4">
        <f t="shared" si="5"/>
        <v>0</v>
      </c>
    </row>
    <row r="59" spans="1:9" x14ac:dyDescent="0.35">
      <c r="A59" s="2" t="s">
        <v>69</v>
      </c>
      <c r="B59" s="2" t="s">
        <v>60</v>
      </c>
      <c r="C59" s="3">
        <v>80</v>
      </c>
      <c r="D59" s="3">
        <v>0</v>
      </c>
      <c r="E59" s="3">
        <v>80</v>
      </c>
      <c r="F59" s="2">
        <f t="shared" si="3"/>
        <v>80</v>
      </c>
      <c r="G59" s="3">
        <v>80</v>
      </c>
      <c r="H59" s="2">
        <f t="shared" si="4"/>
        <v>0</v>
      </c>
      <c r="I59" s="4">
        <f t="shared" si="5"/>
        <v>0</v>
      </c>
    </row>
    <row r="60" spans="1:9" x14ac:dyDescent="0.35">
      <c r="A60" s="2" t="s">
        <v>70</v>
      </c>
      <c r="B60" s="2" t="s">
        <v>60</v>
      </c>
      <c r="C60" s="3">
        <v>50</v>
      </c>
      <c r="D60" s="3">
        <v>0</v>
      </c>
      <c r="E60" s="3">
        <v>50</v>
      </c>
      <c r="F60" s="2">
        <f t="shared" si="3"/>
        <v>50</v>
      </c>
      <c r="G60" s="3">
        <v>50</v>
      </c>
      <c r="H60" s="2">
        <f t="shared" si="4"/>
        <v>0</v>
      </c>
      <c r="I60" s="4">
        <f t="shared" si="5"/>
        <v>0</v>
      </c>
    </row>
    <row r="61" spans="1:9" x14ac:dyDescent="0.35">
      <c r="A61" s="2" t="s">
        <v>71</v>
      </c>
      <c r="B61" s="2" t="s">
        <v>60</v>
      </c>
      <c r="C61" s="3">
        <v>80</v>
      </c>
      <c r="D61" s="3">
        <v>0</v>
      </c>
      <c r="E61" s="3">
        <v>80</v>
      </c>
      <c r="F61" s="2">
        <f t="shared" si="3"/>
        <v>80</v>
      </c>
      <c r="G61" s="3">
        <v>80</v>
      </c>
      <c r="H61" s="2">
        <f t="shared" si="4"/>
        <v>0</v>
      </c>
      <c r="I61" s="4">
        <f t="shared" si="5"/>
        <v>0</v>
      </c>
    </row>
    <row r="62" spans="1:9" x14ac:dyDescent="0.35">
      <c r="A62" s="2" t="s">
        <v>72</v>
      </c>
      <c r="B62" s="2" t="s">
        <v>60</v>
      </c>
      <c r="C62" s="3">
        <v>80</v>
      </c>
      <c r="D62" s="3">
        <v>0</v>
      </c>
      <c r="E62" s="3">
        <v>80</v>
      </c>
      <c r="F62" s="2">
        <f t="shared" si="3"/>
        <v>80</v>
      </c>
      <c r="G62" s="3">
        <v>80</v>
      </c>
      <c r="H62" s="2">
        <f t="shared" si="4"/>
        <v>0</v>
      </c>
      <c r="I62" s="4">
        <f t="shared" si="5"/>
        <v>0</v>
      </c>
    </row>
    <row r="64" spans="1:9" x14ac:dyDescent="0.35">
      <c r="A64" s="5" t="s">
        <v>73</v>
      </c>
    </row>
    <row r="65" spans="1:1" x14ac:dyDescent="0.35">
      <c r="A65" s="6" t="s">
        <v>74</v>
      </c>
    </row>
    <row r="66" spans="1:1" x14ac:dyDescent="0.35">
      <c r="A66" s="6" t="s">
        <v>75</v>
      </c>
    </row>
    <row r="67" spans="1:1" x14ac:dyDescent="0.35">
      <c r="A67" s="6" t="s">
        <v>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4"/>
  <sheetViews>
    <sheetView workbookViewId="0"/>
  </sheetViews>
  <sheetFormatPr defaultRowHeight="14.5" x14ac:dyDescent="0.35"/>
  <cols>
    <col min="1" max="1" width="11" customWidth="1"/>
    <col min="2" max="2" width="10" customWidth="1"/>
    <col min="3" max="3" width="12" customWidth="1"/>
    <col min="4" max="5" width="13" customWidth="1"/>
    <col min="6" max="6" width="14" customWidth="1"/>
    <col min="7" max="7" width="11" customWidth="1"/>
    <col min="8" max="8" width="13" customWidth="1"/>
  </cols>
  <sheetData>
    <row r="1" spans="1:8" ht="32" customHeight="1" x14ac:dyDescent="0.35">
      <c r="A1" s="7" t="s">
        <v>1</v>
      </c>
      <c r="B1" s="7" t="s">
        <v>77</v>
      </c>
      <c r="C1" s="7" t="s">
        <v>78</v>
      </c>
      <c r="D1" s="7" t="s">
        <v>79</v>
      </c>
      <c r="E1" s="7" t="s">
        <v>80</v>
      </c>
      <c r="F1" s="7" t="s">
        <v>81</v>
      </c>
      <c r="G1" s="7" t="s">
        <v>82</v>
      </c>
      <c r="H1" s="7" t="s">
        <v>83</v>
      </c>
    </row>
    <row r="2" spans="1:8" x14ac:dyDescent="0.35">
      <c r="A2" s="2" t="s">
        <v>10</v>
      </c>
      <c r="B2" s="2">
        <f>COUNTIF(Results!$B$2:$B$62,A2)</f>
        <v>35</v>
      </c>
      <c r="C2" s="8">
        <f>AVERAGEIF(Results!$B$2:$B$62,A2,Results!$C$2:$C$62)</f>
        <v>64.428571428571431</v>
      </c>
      <c r="D2" s="8">
        <f>AVERAGEIF(Results!$B$2:$B$62,A2,Results!$D$2:$D$62)</f>
        <v>39.514285714285712</v>
      </c>
      <c r="E2" s="8">
        <f>AVERAGEIF(Results!$B$2:$B$62,A2,Results!$F$2:$F$62)</f>
        <v>103.94285714285714</v>
      </c>
      <c r="F2" s="8">
        <f>AVERAGEIF(Results!$B$2:$B$62,A2,Results!$G$2:$G$62)</f>
        <v>295.77142857142854</v>
      </c>
      <c r="G2" s="4">
        <f>AVERAGEIF(Results!$B$2:$B$62,A2,Results!$I$2:$I$62)</f>
        <v>0.64228611643558764</v>
      </c>
      <c r="H2" s="2">
        <f>SUMPRODUCT(MAX((Results!$B$2:$B$62=A2)*Results!$F$2:$F$62))</f>
        <v>137</v>
      </c>
    </row>
    <row r="3" spans="1:8" x14ac:dyDescent="0.35">
      <c r="A3" s="2" t="s">
        <v>46</v>
      </c>
      <c r="B3" s="2">
        <f>COUNTIF(Results!$B$2:$B$62,A3)</f>
        <v>13</v>
      </c>
      <c r="C3" s="8">
        <f>AVERAGEIF(Results!$B$2:$B$62,A3,Results!$C$2:$C$62)</f>
        <v>66.92307692307692</v>
      </c>
      <c r="D3" s="8">
        <f>AVERAGEIF(Results!$B$2:$B$62,A3,Results!$D$2:$D$62)</f>
        <v>45.07692307692308</v>
      </c>
      <c r="E3" s="8">
        <f>AVERAGEIF(Results!$B$2:$B$62,A3,Results!$F$2:$F$62)</f>
        <v>112</v>
      </c>
      <c r="F3" s="8">
        <f>AVERAGEIF(Results!$B$2:$B$62,A3,Results!$G$2:$G$62)</f>
        <v>256.61538461538464</v>
      </c>
      <c r="G3" s="4">
        <f>AVERAGEIF(Results!$B$2:$B$62,A3,Results!$I$2:$I$62)</f>
        <v>0.55581924199004318</v>
      </c>
      <c r="H3" s="2">
        <f>SUMPRODUCT(MAX((Results!$B$2:$B$62=A3)*Results!$F$2:$F$62))</f>
        <v>146</v>
      </c>
    </row>
    <row r="4" spans="1:8" x14ac:dyDescent="0.35">
      <c r="A4" s="2" t="s">
        <v>60</v>
      </c>
      <c r="B4" s="2">
        <f>COUNTIF(Results!$B$2:$B$62,A4)</f>
        <v>13</v>
      </c>
      <c r="C4" s="8">
        <f>AVERAGEIF(Results!$B$2:$B$62,A4,Results!$C$2:$C$62)</f>
        <v>69.230769230769226</v>
      </c>
      <c r="D4" s="8">
        <f>AVERAGEIF(Results!$B$2:$B$62,A4,Results!$D$2:$D$62)</f>
        <v>0</v>
      </c>
      <c r="E4" s="8">
        <f>AVERAGEIF(Results!$B$2:$B$62,A4,Results!$F$2:$F$62)</f>
        <v>69.230769230769226</v>
      </c>
      <c r="F4" s="8">
        <f>AVERAGEIF(Results!$B$2:$B$62,A4,Results!$G$2:$G$62)</f>
        <v>69.230769230769226</v>
      </c>
      <c r="G4" s="4">
        <f>AVERAGEIF(Results!$B$2:$B$62,A4,Results!$I$2:$I$62)</f>
        <v>0</v>
      </c>
      <c r="H4" s="2">
        <f>SUMPRODUCT(MAX((Results!$B$2:$B$62=A4)*Results!$F$2:$F$62))</f>
        <v>80</v>
      </c>
    </row>
    <row r="5" spans="1:8" x14ac:dyDescent="0.35">
      <c r="A5" s="9" t="s">
        <v>84</v>
      </c>
      <c r="B5" s="9">
        <f>SUM(B2:B4)</f>
        <v>61</v>
      </c>
      <c r="C5" s="10">
        <f>AVERAGE(Results!$C$2:$C$62)</f>
        <v>65.983606557377044</v>
      </c>
      <c r="D5" s="10">
        <f>AVERAGE(Results!$D$2:$D$62)</f>
        <v>32.278688524590166</v>
      </c>
      <c r="E5" s="10">
        <f>AVERAGE(Results!$F$2:$F$62)</f>
        <v>98.26229508196721</v>
      </c>
      <c r="F5" s="10">
        <f>AVERAGE(Results!$G$2:$G$62)</f>
        <v>239.14754098360655</v>
      </c>
      <c r="G5" s="11">
        <f>AVERAGE(Results!$I$2:$I$62)</f>
        <v>0.48697810198551028</v>
      </c>
      <c r="H5" s="9">
        <f>MAX(Results!$F$2:$F$62)</f>
        <v>146</v>
      </c>
    </row>
    <row r="30" spans="1:8" x14ac:dyDescent="0.35">
      <c r="A30" s="5" t="s">
        <v>85</v>
      </c>
    </row>
    <row r="31" spans="1:8" x14ac:dyDescent="0.35">
      <c r="A31" s="12" t="s">
        <v>1</v>
      </c>
      <c r="B31" s="12" t="s">
        <v>86</v>
      </c>
      <c r="C31" s="12" t="s">
        <v>87</v>
      </c>
      <c r="D31" s="12" t="s">
        <v>88</v>
      </c>
      <c r="E31" s="12"/>
      <c r="F31" s="12"/>
      <c r="G31" s="12"/>
      <c r="H31" s="12"/>
    </row>
    <row r="32" spans="1:8" x14ac:dyDescent="0.35">
      <c r="A32" s="2" t="s">
        <v>10</v>
      </c>
      <c r="B32" s="13">
        <f>SLOPE(Results!$F$2:$F$36,Results!$C$2:$C$36)</f>
        <v>2.1601284378053891</v>
      </c>
      <c r="C32" s="8">
        <f>INTERCEPT(Results!$F$2:$F$36,Results!$C$2:$C$36)</f>
        <v>-35.231132207175804</v>
      </c>
      <c r="D32" s="14">
        <f>IFERROR(RSQ(Results!$F$2:$F$36,Results!$C$2:$C$36),1)</f>
        <v>0.86942084815581278</v>
      </c>
    </row>
    <row r="33" spans="1:4" x14ac:dyDescent="0.35">
      <c r="A33" s="2" t="s">
        <v>46</v>
      </c>
      <c r="B33" s="13">
        <f>SLOPE(Results!$F$37:$F$49,Results!$C$37:$C$49)</f>
        <v>2.6655963302752292</v>
      </c>
      <c r="C33" s="8">
        <f>INTERCEPT(Results!$F$37:$F$49,Results!$C$37:$C$49)</f>
        <v>-66.389908256880716</v>
      </c>
      <c r="D33" s="14">
        <f>IFERROR(RSQ(Results!$F$37:$F$49,Results!$C$37:$C$49),1)</f>
        <v>0.99558953846342502</v>
      </c>
    </row>
    <row r="34" spans="1:4" x14ac:dyDescent="0.35">
      <c r="A34" s="2" t="s">
        <v>60</v>
      </c>
      <c r="B34" s="13">
        <f>SLOPE(Results!$F$50:$F$62,Results!$C$50:$C$62)</f>
        <v>1</v>
      </c>
      <c r="C34" s="8">
        <f>INTERCEPT(Results!$F$50:$F$62,Results!$C$50:$C$62)</f>
        <v>0</v>
      </c>
      <c r="D34" s="14">
        <f>IFERROR(RSQ(Results!$F$50:$F$62,Results!$C$50:$C$62),1)</f>
        <v>0.99999999999999956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>
    <row r="1" spans="1:1" x14ac:dyDescent="0.35">
      <c r="A1" s="6" t="s">
        <v>89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Results</vt:lpstr>
      <vt:lpstr>Summary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Parin Patel</cp:lastModifiedBy>
  <dcterms:created xsi:type="dcterms:W3CDTF">2026-10-17T22:32:50Z</dcterms:created>
  <dcterms:modified xsi:type="dcterms:W3CDTF">2026-10-17T22:33:43Z</dcterms:modified>
</cp:coreProperties>
</file>